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filterPrivacy="1" codeName="ThisWorkbook" defaultThemeVersion="124226"/>
  <xr:revisionPtr revIDLastSave="0" documentId="13_ncr:1_{3FBEDACA-F847-4CED-A4E1-8E9CBE634DC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3.1 Stacked column" sheetId="29" r:id="rId11"/>
    <sheet name="3.2 Dougnut chart" sheetId="28" r:id="rId12"/>
    <sheet name="3.3 Area &amp; Line chart" sheetId="26" r:id="rId13"/>
    <sheet name="3.4 Bridge chart" sheetId="31" r:id="rId14"/>
  </sheets>
  <definedNames>
    <definedName name="_xlnm._FilterDatabase" localSheetId="3" hidden="1">'1.1 FY2016'!$B$4:$F$61</definedName>
    <definedName name="_xlnm._FilterDatabase" localSheetId="4" hidden="1">'1.2 FY2017'!$B$4:$G$86</definedName>
    <definedName name="_xlnm._FilterDatabase" localSheetId="5" hidden="1">'1.3 FY2018'!$B$4:$G$78</definedName>
    <definedName name="_xlnm._FilterDatabase" localSheetId="7" hidden="1">'2.1 Database'!$B$3:$H$109</definedName>
    <definedName name="_xlchart.v1.0" hidden="1">'3. Charts'!$B$4:$B$9</definedName>
    <definedName name="_xlchart.v1.1" hidden="1">'3. Charts'!$C$4:$C$9</definedName>
    <definedName name="_xlchart.v1.2" hidden="1">'3.4 Bridge chart'!$B$4:$B$8</definedName>
    <definedName name="_xlchart.v1.3" hidden="1">'3.4 Bridge chart'!$C$4:$C$8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31" l="1"/>
  <c r="C8" i="31"/>
  <c r="C4" i="31"/>
  <c r="C7" i="31"/>
  <c r="C6" i="31"/>
  <c r="C5" i="31"/>
  <c r="C17" i="21"/>
  <c r="D4" i="26"/>
  <c r="E4" i="26"/>
  <c r="C4" i="26"/>
  <c r="C10" i="21"/>
  <c r="C8" i="21"/>
  <c r="H4" i="21" a="1"/>
  <c r="H4" i="21" s="1"/>
  <c r="H5" i="21" a="1"/>
  <c r="H5" i="21"/>
  <c r="H6" i="21" a="1"/>
  <c r="H6" i="21" s="1"/>
  <c r="H7" i="21" a="1"/>
  <c r="H7" i="21"/>
  <c r="H10" i="21" a="1"/>
  <c r="H10" i="21" s="1"/>
  <c r="H11" i="21" a="1"/>
  <c r="H11" i="21"/>
  <c r="H12" i="21" a="1"/>
  <c r="H12" i="21" s="1"/>
  <c r="H13" i="21" a="1"/>
  <c r="H13" i="21"/>
  <c r="H14" i="21" a="1"/>
  <c r="H14" i="21" s="1"/>
  <c r="H15" i="21" a="1"/>
  <c r="H15" i="21"/>
  <c r="H16" i="21" a="1"/>
  <c r="H16" i="21" s="1"/>
  <c r="H18" i="21" a="1"/>
  <c r="H18" i="21" s="1"/>
  <c r="H20" i="21" a="1"/>
  <c r="H20" i="21" s="1"/>
  <c r="H21" i="21" a="1"/>
  <c r="H21" i="21"/>
  <c r="H23" i="21" a="1"/>
  <c r="H23" i="21"/>
  <c r="G5" i="21" a="1"/>
  <c r="G5" i="21" s="1"/>
  <c r="G6" i="21" a="1"/>
  <c r="G6" i="21"/>
  <c r="G7" i="21" a="1"/>
  <c r="G7" i="21" s="1"/>
  <c r="G11" i="21" a="1"/>
  <c r="G11" i="21" s="1"/>
  <c r="G12" i="21" a="1"/>
  <c r="G12" i="21"/>
  <c r="G13" i="21" a="1"/>
  <c r="G13" i="21" s="1"/>
  <c r="G14" i="21" a="1"/>
  <c r="G14" i="21"/>
  <c r="G15" i="21" a="1"/>
  <c r="G15" i="21" s="1"/>
  <c r="G16" i="21" a="1"/>
  <c r="G16" i="21"/>
  <c r="G18" i="21" a="1"/>
  <c r="G18" i="21"/>
  <c r="G20" i="21" a="1"/>
  <c r="G20" i="21"/>
  <c r="G21" i="21" a="1"/>
  <c r="G21" i="21" s="1"/>
  <c r="G23" i="21" a="1"/>
  <c r="G23" i="21" s="1"/>
  <c r="G4" i="21" a="1"/>
  <c r="G4" i="21" s="1"/>
  <c r="G10" i="21" l="1" a="1"/>
  <c r="G10" i="21" s="1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" i="10"/>
  <c r="D26" i="21"/>
  <c r="E26" i="21"/>
  <c r="C26" i="21"/>
  <c r="F60" i="10"/>
  <c r="H94" i="10"/>
  <c r="G94" i="10"/>
  <c r="E23" i="2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E8" i="21"/>
  <c r="H8" i="21" s="1" a="1"/>
  <c r="H8" i="21" s="1"/>
  <c r="D8" i="21"/>
  <c r="G8" i="21" s="1" a="1"/>
  <c r="G8" i="21" s="1"/>
  <c r="C5" i="21"/>
  <c r="D5" i="21"/>
  <c r="E5" i="21"/>
  <c r="C6" i="21"/>
  <c r="D6" i="21"/>
  <c r="E6" i="21"/>
  <c r="D4" i="21"/>
  <c r="E4" i="21"/>
  <c r="C4" i="21"/>
  <c r="C4" i="10"/>
  <c r="D4" i="10"/>
  <c r="E4" i="10"/>
  <c r="C5" i="10"/>
  <c r="D5" i="10"/>
  <c r="E5" i="10"/>
  <c r="H60" i="10"/>
  <c r="G60" i="10"/>
  <c r="F9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D95" i="10"/>
  <c r="E95" i="10"/>
  <c r="C95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1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E7" i="21" l="1"/>
  <c r="E9" i="21" s="1"/>
  <c r="C7" i="21"/>
  <c r="C9" i="21" s="1"/>
  <c r="C30" i="21" s="1"/>
  <c r="D7" i="21"/>
  <c r="D9" i="21" s="1"/>
  <c r="D17" i="21" l="1"/>
  <c r="D30" i="21"/>
  <c r="E17" i="21"/>
  <c r="E30" i="21"/>
  <c r="H9" i="21" a="1"/>
  <c r="H9" i="21" s="1"/>
  <c r="G9" i="21" a="1"/>
  <c r="G9" i="21" s="1"/>
  <c r="G17" i="21" l="1" a="1"/>
  <c r="G17" i="21" s="1"/>
  <c r="C31" i="21"/>
  <c r="E19" i="21"/>
  <c r="E31" i="21"/>
  <c r="H17" i="21" a="1"/>
  <c r="H17" i="21" s="1"/>
  <c r="D19" i="21"/>
  <c r="D31" i="21"/>
  <c r="C19" i="21"/>
  <c r="E22" i="21" l="1"/>
  <c r="H19" i="21" a="1"/>
  <c r="H19" i="21" s="1"/>
  <c r="E32" i="21"/>
  <c r="G19" i="21" a="1"/>
  <c r="G19" i="21" s="1"/>
  <c r="C32" i="21"/>
  <c r="D22" i="21"/>
  <c r="D24" i="21" s="1"/>
  <c r="D27" i="21" s="1"/>
  <c r="D32" i="21"/>
  <c r="C22" i="21"/>
  <c r="G22" i="21" s="1" a="1"/>
  <c r="G22" i="21" s="1"/>
  <c r="E24" i="21" l="1"/>
  <c r="H22" i="21" a="1"/>
  <c r="H22" i="21" s="1"/>
  <c r="C24" i="21"/>
  <c r="G24" i="21" s="1" a="1"/>
  <c r="G24" i="21" s="1"/>
  <c r="E27" i="21" l="1"/>
  <c r="H24" i="21" a="1"/>
  <c r="H24" i="21" s="1"/>
  <c r="C27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<sst xmlns="http://schemas.openxmlformats.org/spreadsheetml/2006/main" count="998" uniqueCount="265">
  <si>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</si>
  <si>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</si>
  <si>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</si>
  <si>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</si>
  <si>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</si>
  <si>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</si>
  <si>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</si>
  <si>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</si>
  <si>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</si>
  <si>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</si>
  <si>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</si>
  <si>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</si>
  <si>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</si>
  <si>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</si>
  <si>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</si>
  <si>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</si>
  <si>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</si>
  <si>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</si>
  <si>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</si>
  <si>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</si>
  <si>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</si>
  <si>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</si>
  <si>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</si>
  <si>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</si>
  <si>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</si>
  <si>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</si>
  <si>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</si>
  <si>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</si>
  <si>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</si>
  <si>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</si>
  <si>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</si>
  <si>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</si>
  <si>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</si>
  <si>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</si>
  <si>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</si>
  <si>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</si>
  <si>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</si>
  <si>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</si>
  <si>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</si>
  <si>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</si>
  <si>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</si>
  <si>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</si>
  <si>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</si>
  <si>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</si>
  <si>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</si>
  <si>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</si>
  <si>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</si>
  <si>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</si>
  <si>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</si>
  <si>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</si>
  <si>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</si>
  <si>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</si>
  <si>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</si>
  <si>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</si>
  <si>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</si>
  <si>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</si>
  <si>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</si>
  <si>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</si>
  <si>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</si>
  <si>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</si>
  <si>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</si>
  <si>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</si>
  <si>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</si>
  <si>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</si>
  <si>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</si>
  <si>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</si>
  <si>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</si>
  <si>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</si>
  <si>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</si>
  <si>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</si>
  <si>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</si>
  <si>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</si>
  <si>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</si>
  <si>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</si>
  <si>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</si>
  <si>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</si>
  <si>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</si>
  <si>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</si>
  <si>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</si>
  <si>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</si>
  <si>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</si>
  <si>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</si>
  <si>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</si>
  <si>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</si>
  <si>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</si>
  <si>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</si>
  <si>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</si>
  <si>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</si>
  <si>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</si>
  <si>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</si>
  <si>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</si>
  <si>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</si>
  <si>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</si>
  <si>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</si>
  <si>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</si>
  <si>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</si>
  <si>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</si>
  <si>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</si>
  <si>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</si>
  <si>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</si>
  <si>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</si>
  <si>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</si>
  <si>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</si>
  <si>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</si>
  <si>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</si>
  <si>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</si>
  <si>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</si>
  <si>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</si>
  <si>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</si>
  <si>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</si>
  <si>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</si>
  <si>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</si>
  <si>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Name of partner company</t>
  </si>
  <si>
    <t>Amounts</t>
  </si>
  <si>
    <t>Account number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</si>
  <si>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</si>
  <si>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</si>
  <si>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</si>
  <si>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</si>
  <si>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</si>
  <si>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</si>
  <si>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</si>
  <si>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</si>
  <si>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</si>
  <si>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</si>
  <si>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</si>
  <si>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</si>
  <si>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</si>
  <si>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</si>
  <si>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</si>
  <si>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</si>
  <si>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</si>
  <si>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</si>
  <si>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</si>
  <si>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</si>
  <si>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</si>
  <si>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</si>
  <si>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</si>
  <si>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</si>
  <si>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</si>
  <si>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</si>
  <si>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</si>
  <si>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</si>
  <si>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</si>
  <si>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</si>
  <si>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</si>
  <si>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</si>
  <si>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</si>
  <si>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</si>
  <si>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</si>
  <si>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</si>
  <si>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</si>
  <si>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</si>
  <si>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</si>
  <si>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</si>
  <si>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</si>
  <si>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</si>
  <si>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</si>
  <si>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</si>
  <si>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</si>
  <si>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</si>
  <si>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</si>
  <si>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</si>
  <si>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</si>
  <si>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</si>
  <si>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</si>
  <si>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</si>
  <si>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</si>
  <si>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</si>
  <si>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</si>
  <si>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</si>
  <si>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</si>
  <si>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</si>
  <si>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</si>
  <si>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2021210000111111</t>
  </si>
  <si>
    <t>2024020000111111</t>
  </si>
  <si>
    <t>20240900001283</t>
  </si>
  <si>
    <t>20240900001924</t>
  </si>
  <si>
    <t>20240900002185</t>
  </si>
  <si>
    <t>20240900002240</t>
  </si>
  <si>
    <t>202409000017000</t>
  </si>
  <si>
    <t>2051260000111101</t>
  </si>
  <si>
    <t>20604410001118</t>
  </si>
  <si>
    <t>2060441000111111</t>
  </si>
  <si>
    <t>206901000019</t>
  </si>
  <si>
    <t>20690100001076</t>
  </si>
  <si>
    <t>20690100001086</t>
  </si>
  <si>
    <t>20690100001006</t>
  </si>
  <si>
    <t>206901000047037</t>
  </si>
  <si>
    <t>2069020000111111</t>
  </si>
  <si>
    <t>2069980000105</t>
  </si>
  <si>
    <t>2070600000105</t>
  </si>
  <si>
    <t>2070900000105</t>
  </si>
  <si>
    <t>207110000088</t>
  </si>
  <si>
    <t>2071209100111111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</si>
  <si>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</si>
  <si>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</si>
  <si>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</si>
  <si>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</si>
  <si>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</si>
  <si>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</si>
  <si>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2082110000111101</t>
  </si>
  <si>
    <t>2111111997111101</t>
  </si>
  <si>
    <t>2111111999111101</t>
  </si>
  <si>
    <t>20200000001086</t>
  </si>
  <si>
    <t>202409000019</t>
  </si>
  <si>
    <t>20240900002486</t>
  </si>
  <si>
    <t>2049000000111101</t>
  </si>
  <si>
    <t>2060220000111111</t>
  </si>
  <si>
    <t>206998000088</t>
  </si>
  <si>
    <t>2070290000111101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</si>
  <si>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</si>
  <si>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</si>
  <si>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</si>
  <si>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</si>
  <si>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</si>
  <si>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</si>
  <si>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</si>
  <si>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</si>
  <si>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20821100001240</t>
  </si>
  <si>
    <t>2091900000111101</t>
  </si>
  <si>
    <t>FY 2016</t>
  </si>
  <si>
    <t>FY 2018</t>
  </si>
  <si>
    <t>x</t>
  </si>
  <si>
    <t>Mapping</t>
  </si>
  <si>
    <t>Net Sales</t>
  </si>
  <si>
    <t>Other operating expenses</t>
  </si>
  <si>
    <t>Personnel expenses</t>
  </si>
  <si>
    <t>Recharges</t>
  </si>
  <si>
    <t>Services</t>
  </si>
  <si>
    <t>Financial items</t>
  </si>
  <si>
    <t>Travel costs</t>
  </si>
  <si>
    <t>Extraordinary items</t>
  </si>
  <si>
    <t>Taxes</t>
  </si>
  <si>
    <t>Net Income</t>
  </si>
  <si>
    <t>P&amp;L Statement</t>
  </si>
  <si>
    <t>EUR in millions</t>
  </si>
  <si>
    <t>Total Revenues</t>
  </si>
  <si>
    <t>Gross margin</t>
  </si>
  <si>
    <t>EBITDA</t>
  </si>
  <si>
    <t>EBIT</t>
  </si>
  <si>
    <t>EBT</t>
  </si>
  <si>
    <t>FY 16</t>
  </si>
  <si>
    <t>FY 17</t>
  </si>
  <si>
    <t>FY 18</t>
  </si>
  <si>
    <t>Check</t>
  </si>
  <si>
    <t>Var%
FY16-
FY17</t>
  </si>
  <si>
    <t>Var%
FY17-
FY18</t>
  </si>
  <si>
    <t>KPIs</t>
  </si>
  <si>
    <t>GM%</t>
  </si>
  <si>
    <t>EBITDA%</t>
  </si>
  <si>
    <t>EBIT%</t>
  </si>
  <si>
    <t>Bridge chart</t>
  </si>
  <si>
    <t>Trend</t>
  </si>
  <si>
    <t>Gross margin%</t>
  </si>
  <si>
    <t>Doughnut chart</t>
  </si>
  <si>
    <t>Area &amp; Line chart</t>
  </si>
  <si>
    <t>Revenues</t>
  </si>
  <si>
    <t>Gross Margin %</t>
  </si>
  <si>
    <t>EBITDA FY17</t>
  </si>
  <si>
    <t>Change in Revenues</t>
  </si>
  <si>
    <t>Change in Opex</t>
  </si>
  <si>
    <t>EBITDA FY18</t>
  </si>
  <si>
    <t xml:space="preserve">Change in variable
costs </t>
  </si>
  <si>
    <t>Stacked column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</si>
</sst>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##,###,###;[Red]\(###,###,###\);\-;"/>
    <numFmt numFmtId="166" formatCode="#,##0.0_);[Red]\(#,##0.0\)"/>
    <numFmt numFmtId="167" formatCode="0.0_);[Red]\(0.0\)"/>
    <numFmt numFmtId="168" formatCode="#,##0.0_);\(#,##0.0\)"/>
    <numFmt numFmtId="169" formatCode="0.0%"/>
  </numFmts>
  <fonts count="2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8"/>
      <color rgb="FF002060"/>
      <name val="Arial"/>
      <family val="2"/>
    </font>
    <font>
      <sz val="11"/>
      <color theme="1"/>
      <name val="Arial"/>
      <family val="2"/>
    </font>
    <font>
      <b/>
      <sz val="11"/>
      <color rgb="FF002060"/>
      <name val="Arial"/>
      <family val="2"/>
    </font>
    <font>
      <b/>
      <sz val="18"/>
      <color theme="3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rgb="FF002060"/>
      <name val="Arial"/>
      <family val="2"/>
    </font>
    <font>
      <sz val="10"/>
      <color theme="1"/>
      <name val="Arial"/>
      <family val="2"/>
    </font>
    <font>
      <b/>
      <sz val="10"/>
      <color rgb="FF00206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medium">
        <color theme="1"/>
      </bottom>
      <diagonal/>
    </border>
  </borders>
  <cellStyleXfs count="6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6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6" fillId="2" borderId="0" xfId="3" applyFont="1" applyFill="1"/>
    <xf numFmtId="0" fontId="1" fillId="2" borderId="0" xfId="0" applyFont="1" applyFill="1" applyAlignment="1">
      <alignment horizontal="left" vertical="top"/>
    </xf>
    <xf numFmtId="164" fontId="1" fillId="2" borderId="0" xfId="2" applyNumberFormat="1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164" fontId="1" fillId="4" borderId="0" xfId="2" applyNumberFormat="1" applyFont="1" applyFill="1" applyAlignment="1">
      <alignment horizontal="left" vertical="top"/>
    </xf>
    <xf numFmtId="0" fontId="2" fillId="2" borderId="2" xfId="0" applyFont="1" applyFill="1" applyBorder="1"/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/>
    <xf numFmtId="0" fontId="18" fillId="2" borderId="0" xfId="0" applyFont="1" applyFill="1"/>
    <xf numFmtId="0" fontId="17" fillId="2" borderId="0" xfId="0" applyFont="1" applyFill="1"/>
    <xf numFmtId="40" fontId="18" fillId="2" borderId="0" xfId="0" applyNumberFormat="1" applyFont="1" applyFill="1"/>
    <xf numFmtId="0" fontId="19" fillId="2" borderId="3" xfId="0" applyFont="1" applyFill="1" applyBorder="1"/>
    <xf numFmtId="0" fontId="19" fillId="2" borderId="3" xfId="0" applyFont="1" applyFill="1" applyBorder="1" applyAlignment="1">
      <alignment horizontal="right"/>
    </xf>
    <xf numFmtId="0" fontId="19" fillId="2" borderId="3" xfId="0" applyFont="1" applyFill="1" applyBorder="1" applyAlignment="1">
      <alignment horizontal="center" wrapText="1"/>
    </xf>
    <xf numFmtId="168" fontId="1" fillId="2" borderId="0" xfId="4" applyNumberFormat="1" applyFont="1" applyFill="1"/>
    <xf numFmtId="168" fontId="10" fillId="3" borderId="0" xfId="4" applyNumberFormat="1" applyFont="1" applyFill="1" applyBorder="1"/>
    <xf numFmtId="167" fontId="1" fillId="2" borderId="0" xfId="0" applyNumberFormat="1" applyFont="1" applyFill="1"/>
    <xf numFmtId="0" fontId="1" fillId="4" borderId="0" xfId="0" applyFont="1" applyFill="1"/>
    <xf numFmtId="166" fontId="1" fillId="4" borderId="0" xfId="0" applyNumberFormat="1" applyFont="1" applyFill="1"/>
    <xf numFmtId="0" fontId="1" fillId="5" borderId="0" xfId="0" applyFont="1" applyFill="1"/>
    <xf numFmtId="9" fontId="1" fillId="5" borderId="0" xfId="5" applyFont="1" applyFill="1"/>
    <xf numFmtId="0" fontId="20" fillId="2" borderId="0" xfId="0" applyFont="1" applyFill="1"/>
    <xf numFmtId="0" fontId="21" fillId="2" borderId="0" xfId="0" applyFont="1" applyFill="1"/>
    <xf numFmtId="0" fontId="22" fillId="2" borderId="0" xfId="0" applyFont="1" applyFill="1"/>
    <xf numFmtId="0" fontId="23" fillId="2" borderId="0" xfId="0" applyFont="1" applyFill="1"/>
    <xf numFmtId="0" fontId="24" fillId="2" borderId="0" xfId="0" applyFont="1" applyFill="1"/>
    <xf numFmtId="168" fontId="24" fillId="2" borderId="0" xfId="4" applyNumberFormat="1" applyFont="1" applyFill="1"/>
    <xf numFmtId="168" fontId="18" fillId="2" borderId="0" xfId="4" applyNumberFormat="1" applyFont="1" applyFill="1"/>
    <xf numFmtId="0" fontId="19" fillId="2" borderId="0" xfId="0" applyFont="1" applyFill="1" applyAlignment="1">
      <alignment horizontal="right"/>
    </xf>
    <xf numFmtId="168" fontId="18" fillId="2" borderId="0" xfId="4" applyNumberFormat="1" applyFont="1" applyFill="1" applyBorder="1"/>
    <xf numFmtId="169" fontId="18" fillId="5" borderId="0" xfId="5" applyNumberFormat="1" applyFont="1" applyFill="1"/>
    <xf numFmtId="168" fontId="10" fillId="2" borderId="0" xfId="4" applyNumberFormat="1" applyFont="1" applyFill="1" applyBorder="1"/>
    <xf numFmtId="0" fontId="10" fillId="2" borderId="0" xfId="0" applyFont="1" applyFill="1"/>
    <xf numFmtId="0" fontId="18" fillId="4" borderId="0" xfId="0" applyFont="1" applyFill="1"/>
    <xf numFmtId="9" fontId="24" fillId="2" borderId="0" xfId="5" applyFont="1" applyFill="1" applyAlignment="1">
      <alignment horizontal="right"/>
    </xf>
    <xf numFmtId="0" fontId="25" fillId="2" borderId="4" xfId="0" applyFont="1" applyFill="1" applyBorder="1"/>
    <xf numFmtId="168" fontId="26" fillId="2" borderId="4" xfId="0" applyNumberFormat="1" applyFont="1" applyFill="1" applyBorder="1"/>
    <xf numFmtId="9" fontId="26" fillId="2" borderId="4" xfId="5" applyFont="1" applyFill="1" applyBorder="1" applyAlignment="1">
      <alignment horizontal="right"/>
    </xf>
    <xf numFmtId="0" fontId="27" fillId="3" borderId="0" xfId="0" applyFont="1" applyFill="1"/>
    <xf numFmtId="168" fontId="27" fillId="3" borderId="0" xfId="4" applyNumberFormat="1" applyFont="1" applyFill="1" applyBorder="1"/>
    <xf numFmtId="9" fontId="27" fillId="3" borderId="0" xfId="5" applyFont="1" applyFill="1" applyBorder="1" applyAlignment="1">
      <alignment horizontal="right"/>
    </xf>
    <xf numFmtId="168" fontId="26" fillId="2" borderId="4" xfId="4" applyNumberFormat="1" applyFont="1" applyFill="1" applyBorder="1"/>
    <xf numFmtId="0" fontId="26" fillId="2" borderId="5" xfId="0" applyFont="1" applyFill="1" applyBorder="1"/>
    <xf numFmtId="168" fontId="26" fillId="2" borderId="5" xfId="4" applyNumberFormat="1" applyFont="1" applyFill="1" applyBorder="1"/>
    <xf numFmtId="9" fontId="26" fillId="2" borderId="5" xfId="5" applyFont="1" applyFill="1" applyBorder="1" applyAlignment="1">
      <alignment horizontal="right"/>
    </xf>
    <xf numFmtId="168" fontId="24" fillId="2" borderId="0" xfId="4" applyNumberFormat="1" applyFont="1" applyFill="1" applyBorder="1"/>
    <xf numFmtId="166" fontId="18" fillId="2" borderId="0" xfId="4" applyNumberFormat="1" applyFont="1" applyFill="1"/>
    <xf numFmtId="168" fontId="18" fillId="4" borderId="0" xfId="0" applyNumberFormat="1" applyFont="1" applyFill="1"/>
    <xf numFmtId="0" fontId="18" fillId="2" borderId="0" xfId="0" applyFont="1" applyFill="1" applyAlignment="1">
      <alignment wrapText="1"/>
    </xf>
  </cellXfs>
  <cellStyles count="6">
    <cellStyle name="Comma" xfId="2" builtinId="3"/>
    <cellStyle name="Currency" xfId="4" builtinId="4"/>
    <cellStyle name="Hyperlink" xfId="3" builtinId="8"/>
    <cellStyle name="Normal" xfId="0" builtinId="0"/>
    <cellStyle name="Percent" xfId="5" builtinId="5"/>
    <cellStyle name="Smart Subtitle 1" xfId="1" xr:uid="{00000000-0005-0000-0000-000003000000}"/>
  </cellStyles>
  <dxfs count="0"/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'2.2 P&amp;L statement'!$C$4:$E$4</c:f>
              <c:numCache>
                <c:formatCode>#,##0.0_);\(#,##0.0\)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1-4428-8C9C-D21F1CEBC939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'2.2 P&amp;L statement'!$C$5:$E$5</c:f>
              <c:numCache>
                <c:formatCode>#,##0.0_);\(#,##0.0\)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21-4428-8C9C-D21F1CEBC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0588496"/>
        <c:axId val="759648384"/>
      </c:barChart>
      <c:catAx>
        <c:axId val="740588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59648384"/>
        <c:crosses val="autoZero"/>
        <c:auto val="1"/>
        <c:lblAlgn val="ctr"/>
        <c:lblOffset val="100"/>
        <c:noMultiLvlLbl val="0"/>
      </c:catAx>
      <c:valAx>
        <c:axId val="759648384"/>
        <c:scaling>
          <c:orientation val="minMax"/>
          <c:max val="18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0588496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Stacked column'!$B$4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Stacked column'!$C$3:$E$3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'3.1 Stacked column'!$C$4:$E$4</c:f>
              <c:numCache>
                <c:formatCode>#,##0.0_);\(#,##0.0\)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8-4A70-85C9-61C41A367BF0}"/>
            </c:ext>
          </c:extLst>
        </c:ser>
        <c:ser>
          <c:idx val="1"/>
          <c:order val="1"/>
          <c:tx>
            <c:strRef>
              <c:f>'3.1 Stacked column'!$B$5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Stacked column'!$C$3:$E$3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'3.1 Stacked column'!$C$5:$E$5</c:f>
              <c:numCache>
                <c:formatCode>#,##0.0_);\(#,##0.0\)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E8-4A70-85C9-61C41A367BF0}"/>
            </c:ext>
          </c:extLst>
        </c:ser>
        <c:ser>
          <c:idx val="2"/>
          <c:order val="2"/>
          <c:tx>
            <c:strRef>
              <c:f>'3.1 Stacked column'!$B$6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Stacked column'!$C$3:$E$3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'3.1 Stacked column'!$C$6:$E$6</c:f>
              <c:numCache>
                <c:formatCode>#,##0.0_);\(#,##0.0\)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E8-4A70-85C9-61C41A367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1331487"/>
        <c:axId val="628015487"/>
      </c:barChart>
      <c:lineChart>
        <c:grouping val="standard"/>
        <c:varyColors val="0"/>
        <c:ser>
          <c:idx val="3"/>
          <c:order val="3"/>
          <c:tx>
            <c:strRef>
              <c:f>'3.1 Stacked column'!$B$7</c:f>
              <c:strCache>
                <c:ptCount val="1"/>
                <c:pt idx="0">
                  <c:v>Gross margin%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Stacked column'!$C$3:$E$3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'3.1 Stacked column'!$C$7:$E$7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EE8-4A70-85C9-61C41A367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6283647"/>
        <c:axId val="1753271919"/>
      </c:lineChart>
      <c:catAx>
        <c:axId val="381331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8015487"/>
        <c:crosses val="autoZero"/>
        <c:auto val="1"/>
        <c:lblAlgn val="ctr"/>
        <c:lblOffset val="100"/>
        <c:noMultiLvlLbl val="0"/>
      </c:catAx>
      <c:valAx>
        <c:axId val="62801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81331487"/>
        <c:crosses val="autoZero"/>
        <c:crossBetween val="between"/>
      </c:valAx>
      <c:valAx>
        <c:axId val="17532719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6283647"/>
        <c:crosses val="max"/>
        <c:crossBetween val="between"/>
      </c:valAx>
      <c:catAx>
        <c:axId val="17662836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32719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50" b="1">
                <a:solidFill>
                  <a:srgbClr val="002060"/>
                </a:solidFill>
              </a:rPr>
              <a:t>Breakdown of Revenues in FY 18</a:t>
            </a:r>
          </a:p>
        </c:rich>
      </c:tx>
      <c:layout>
        <c:manualLayout>
          <c:xMode val="edge"/>
          <c:yMode val="edge"/>
          <c:x val="2.010154229797061E-2"/>
          <c:y val="4.6224961479198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7E8-4F7E-999E-73E71592D44B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E8-4F7E-999E-73E71592D44B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7E8-4F7E-999E-73E71592D4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#,##0.0_);\(#,##0.0\)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8-4F7E-999E-73E71592D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 b="1">
                <a:solidFill>
                  <a:srgbClr val="002060"/>
                </a:solidFill>
              </a:rPr>
              <a:t>FY16-FY18 Revenues and Gross Margin %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8193350831146112E-3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chart'!$C$3:$E$3</c:f>
              <c:strCache>
                <c:ptCount val="3"/>
                <c:pt idx="0">
                  <c:v>FY 16</c:v>
                </c:pt>
                <c:pt idx="1">
                  <c:v>FY 17</c:v>
                </c:pt>
                <c:pt idx="2">
                  <c:v>FY 18</c:v>
                </c:pt>
              </c:strCache>
            </c:strRef>
          </c:cat>
          <c:val>
            <c:numRef>
              <c:f>'3.3 Area &amp; Line chart'!$C$4:$E$4</c:f>
              <c:numCache>
                <c:formatCode>#,##0.0_);\(#,##0.0\)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F-4AC2-A585-0F22E27E4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653551"/>
        <c:axId val="1768372159"/>
      </c:areaChart>
      <c:lineChart>
        <c:grouping val="standard"/>
        <c:varyColors val="0"/>
        <c:ser>
          <c:idx val="1"/>
          <c:order val="1"/>
          <c:tx>
            <c:strRef>
              <c:f>'3.3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EAF-4AC2-A585-0F22E27E4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927263"/>
        <c:axId val="1237605679"/>
      </c:lineChart>
      <c:catAx>
        <c:axId val="617653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8372159"/>
        <c:crosses val="autoZero"/>
        <c:auto val="1"/>
        <c:lblAlgn val="ctr"/>
        <c:lblOffset val="100"/>
        <c:noMultiLvlLbl val="0"/>
      </c:catAx>
      <c:valAx>
        <c:axId val="1768372159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7653551"/>
        <c:crosses val="autoZero"/>
        <c:crossBetween val="between"/>
        <c:majorUnit val="2"/>
      </c:valAx>
      <c:valAx>
        <c:axId val="1237605679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64927263"/>
        <c:crosses val="max"/>
        <c:crossBetween val="between"/>
        <c:majorUnit val="2.0000000000000004E-2"/>
      </c:valAx>
      <c:catAx>
        <c:axId val="464927263"/>
        <c:scaling>
          <c:orientation val="minMax"/>
        </c:scaling>
        <c:delete val="1"/>
        <c:axPos val="b"/>
        <c:majorTickMark val="out"/>
        <c:minorTickMark val="none"/>
        <c:tickLblPos val="nextTo"/>
        <c:crossAx val="12376056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/>
    <cx:plotArea>
      <cx:plotAreaRegion>
        <cx:series layoutId="waterfall" uniqueId="{71343578-CD4E-4576-86BF-03B546119199}">
          <cx:dataLabels pos="outEnd">
            <cx:visibility seriesName="0" categoryName="0" value="1"/>
          </cx:dataLabels>
          <cx:dataId val="0"/>
          <cx:layoutPr>
            <cx:subtotals>
              <cx:idx val="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title pos="t" align="ctr" overlay="0">
      <cx:tx>
        <cx:txData>
          <cx:v>EBITDA bridge: FY17-FY18</cx:v>
        </cx:txData>
      </cx:tx>
      <cx:txPr>
        <a:bodyPr vertOverflow="overflow" horzOverflow="overflow" wrap="square" lIns="0" tIns="0" rIns="0" bIns="0"/>
        <a:lstStyle/>
        <a:p>
          <a:pPr algn="ctr" rtl="0">
            <a:defRPr sz="105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105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bridge: FY17-FY18</a:t>
          </a:r>
        </a:p>
      </cx:txPr>
    </cx:title>
    <cx:plotArea>
      <cx:plotAreaRegion>
        <cx:series layoutId="waterfall" uniqueId="{BBBECF6F-4259-4F74-8467-6AA4D049B978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vertOverflow="overflow" horzOverflow="overflow" wrap="square" lIns="0" tIns="0" rIns="0" bIns="0"/>
              <a:lstStyle/>
              <a:p>
                <a:pPr algn="ctr" rtl="0">
                  <a:defRPr sz="1050" b="1" i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1050" b="1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  <cx:separator>, </cx:separator>
            <cx:dataLabel idx="0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en-US" sz="1050" b="1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t>4.2 </a:t>
                  </a:r>
                </a:p>
              </cx:txPr>
              <cx:visibility seriesName="0" categoryName="0" value="1"/>
              <cx:separator>, </cx:separator>
            </cx:dataLabel>
            <cx:dataLabel idx="1" pos="outEnd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tx1"/>
                      </a:solidFill>
                    </a:defRPr>
                  </a:pPr>
                  <a:r>
                    <a:rPr lang="en-US" sz="1050" b="1">
                      <a:solidFill>
                        <a:schemeClr val="tx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t>0.3 </a:t>
                  </a:r>
                </a:p>
              </cx:txPr>
              <cx:visibility seriesName="0" categoryName="0" value="1"/>
              <cx:separator>, </cx:separator>
            </cx:dataLabel>
            <cx:dataLabel idx="2" pos="outEnd">
              <cx:numFmt formatCode="#,##0.0" sourceLinked="0"/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tx1"/>
                      </a:solidFill>
                    </a:defRPr>
                  </a:pPr>
                  <a:r>
                    <a:rPr lang="en-US" sz="1050" b="1">
                      <a:solidFill>
                        <a:schemeClr val="tx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t>-0.2</a:t>
                  </a:r>
                </a:p>
              </cx:txPr>
              <cx:visibility seriesName="0" categoryName="0" value="1"/>
              <cx:separator>, </cx:separator>
            </cx:dataLabel>
            <cx:dataLabel idx="4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en-US" sz="1050" b="1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t>5.3 </a:t>
                  </a:r>
                </a:p>
              </cx:txPr>
              <cx:visibility seriesName="0" categoryName="0" value="1"/>
              <cx:separator>, </cx:separator>
            </cx:dataLabel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EURO in millions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baseline="0">
                  <a:solidFill>
                    <a:schemeClr val="tx1"/>
                  </a:solidFill>
                  <a:latin typeface="Calibri"/>
                </a:rPr>
                <a:t>EURO in millions</a:t>
              </a:r>
            </a:p>
          </cx:txPr>
        </cx:title>
        <cx:majorGridlines>
          <cx:spPr>
            <a:ln>
              <a:solidFill>
                <a:schemeClr val="bg1">
                  <a:lumMod val="65000"/>
                  <a:alpha val="50000"/>
                </a:schemeClr>
              </a:solidFill>
            </a:ln>
          </cx:spPr>
        </cx:majorGridlines>
        <cx:tickLabels/>
        <cx:numFmt formatCode="#,##0_);(#,##0)" sourceLinked="0"/>
        <cx:txPr>
          <a:bodyPr vertOverflow="overflow" horzOverflow="overflow" wrap="square" lIns="0" tIns="0" rIns="0" bIns="0"/>
          <a:lstStyle/>
          <a:p>
            <a:pPr algn="ctr" rtl="0">
              <a:defRPr sz="1050" b="0" i="0">
                <a:solidFill>
                  <a:schemeClr val="tx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678180</xdr:colOff>
      <xdr:row>4</xdr:row>
      <xdr:rowOff>129540</xdr:rowOff>
    </xdr:from>
    <xdr:to>
      <xdr:col>17</xdr:col>
      <xdr:colOff>266700</xdr:colOff>
      <xdr:row>21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55BF0C-77A4-0376-17D7-A78CD130B7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487680</xdr:colOff>
      <xdr:row>1</xdr:row>
      <xdr:rowOff>41910</xdr:rowOff>
    </xdr:from>
    <xdr:to>
      <xdr:col>14</xdr:col>
      <xdr:colOff>182880</xdr:colOff>
      <xdr:row>20</xdr:row>
      <xdr:rowOff>26670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8E766DA-8C82-B811-7791-CCE26BFB18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3420" y="33147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541020</xdr:colOff>
      <xdr:row>6</xdr:row>
      <xdr:rowOff>144780</xdr:rowOff>
    </xdr:from>
    <xdr:to>
      <xdr:col>14</xdr:col>
      <xdr:colOff>525780</xdr:colOff>
      <xdr:row>21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AF730B-E537-FB31-CBF2-D3528CD29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548640</xdr:colOff>
      <xdr:row>7</xdr:row>
      <xdr:rowOff>129540</xdr:rowOff>
    </xdr:from>
    <xdr:to>
      <xdr:col>12</xdr:col>
      <xdr:colOff>403860</xdr:colOff>
      <xdr:row>21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DE8344-091C-D35E-3F3C-1B7D935E80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0.25632</cdr:x>
      <cdr:y>0.47047</cdr:y>
    </cdr:from>
    <cdr:to>
      <cdr:x>0.48922</cdr:x>
      <cdr:y>0.59065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F3145384-80AF-1D94-BFED-9E313B7A8929}"/>
            </a:ext>
          </a:extLst>
        </cdr:cNvPr>
        <cdr:cNvSpPr txBox="1"/>
      </cdr:nvSpPr>
      <cdr:spPr>
        <a:xfrm xmlns:a="http://schemas.openxmlformats.org/drawingml/2006/main">
          <a:off x="1056640" y="1163320"/>
          <a:ext cx="960120" cy="29718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€26.3m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6</xdr:row>
      <xdr:rowOff>133350</xdr:rowOff>
    </xdr:from>
    <xdr:to>
      <xdr:col>13</xdr:col>
      <xdr:colOff>495300</xdr:colOff>
      <xdr:row>22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6F2690-CBF2-EB27-C163-4FDBE5DD6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769620</xdr:colOff>
      <xdr:row>2</xdr:row>
      <xdr:rowOff>110490</xdr:rowOff>
    </xdr:from>
    <xdr:to>
      <xdr:col>14</xdr:col>
      <xdr:colOff>83820</xdr:colOff>
      <xdr:row>17</xdr:row>
      <xdr:rowOff>30480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DFEF5DC-ECA9-16D3-81CF-6E26B54068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26280" y="575310"/>
              <a:ext cx="5730240" cy="2724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tabSelected="1" workbookViewId="0"/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104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18" t="s">
        <v>105</v>
      </c>
    </row>
    <row r="8" spans="2:4" x14ac:dyDescent="0.2">
      <c r="B8" s="7">
        <v>4</v>
      </c>
      <c r="C8" s="18" t="s">
        <v>106</v>
      </c>
    </row>
    <row r="9" spans="2:4" x14ac:dyDescent="0.2">
      <c r="B9" s="7">
        <v>5</v>
      </c>
      <c r="C9" s="18" t="s">
        <v>107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E5" sqref="E5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3.44140625" style="2" customWidth="1"/>
    <col min="6" max="6" width="14.109375" style="2" customWidth="1"/>
    <col min="7" max="7" width="17.6640625" style="2" customWidth="1"/>
    <col min="8" max="16384" width="9.109375" style="2"/>
  </cols>
  <sheetData>
    <row r="1" spans="2:7" ht="15.6" x14ac:dyDescent="0.3">
      <c r="B1" s="3" t="s">
        <v>108</v>
      </c>
    </row>
    <row r="4" spans="2:7" x14ac:dyDescent="0.2">
      <c r="B4" s="19" t="s">
        <v>111</v>
      </c>
      <c r="C4" s="19" t="s">
        <v>31</v>
      </c>
      <c r="D4" s="19" t="s">
        <v>112</v>
      </c>
      <c r="E4" s="19" t="s">
        <v>113</v>
      </c>
      <c r="F4" s="19" t="s">
        <v>114</v>
      </c>
      <c r="G4" s="5" t="s">
        <v>115</v>
      </c>
    </row>
    <row r="5" spans="2:7" x14ac:dyDescent="0.2">
      <c r="B5" s="19" t="s">
        <v>65</v>
      </c>
      <c r="C5" s="19">
        <v>111111</v>
      </c>
      <c r="D5" s="19" t="s">
        <v>99</v>
      </c>
      <c r="E5" s="20">
        <v>-14500341</v>
      </c>
      <c r="F5" s="19">
        <v>2001110000</v>
      </c>
      <c r="G5" s="2" t="s">
        <v>116</v>
      </c>
    </row>
    <row r="6" spans="2:7" x14ac:dyDescent="0.2">
      <c r="B6" s="19" t="s">
        <v>66</v>
      </c>
      <c r="C6" s="19">
        <v>111111</v>
      </c>
      <c r="D6" s="19" t="s">
        <v>99</v>
      </c>
      <c r="E6" s="20">
        <v>-4794856.1919999998</v>
      </c>
      <c r="F6" s="19">
        <v>2001190000</v>
      </c>
      <c r="G6" s="2" t="s">
        <v>117</v>
      </c>
    </row>
    <row r="7" spans="2:7" x14ac:dyDescent="0.2">
      <c r="B7" s="19" t="s">
        <v>67</v>
      </c>
      <c r="C7" s="19">
        <v>1009</v>
      </c>
      <c r="D7" s="19" t="s">
        <v>35</v>
      </c>
      <c r="E7" s="20">
        <v>-154890.4</v>
      </c>
      <c r="F7" s="19">
        <v>2020000000</v>
      </c>
      <c r="G7" s="2" t="s">
        <v>118</v>
      </c>
    </row>
    <row r="8" spans="2:7" x14ac:dyDescent="0.2">
      <c r="B8" s="19" t="s">
        <v>67</v>
      </c>
      <c r="C8" s="19">
        <v>1007</v>
      </c>
      <c r="D8" s="19" t="s">
        <v>37</v>
      </c>
      <c r="E8" s="20">
        <v>-1180894.0520000001</v>
      </c>
      <c r="F8" s="19">
        <v>2020000000</v>
      </c>
      <c r="G8" s="2" t="s">
        <v>119</v>
      </c>
    </row>
    <row r="9" spans="2:7" x14ac:dyDescent="0.2">
      <c r="B9" s="19" t="s">
        <v>67</v>
      </c>
      <c r="C9" s="19">
        <v>1008</v>
      </c>
      <c r="D9" s="19" t="s">
        <v>39</v>
      </c>
      <c r="E9" s="20">
        <v>-793079.51199999999</v>
      </c>
      <c r="F9" s="19">
        <v>2020000000</v>
      </c>
      <c r="G9" s="2" t="s">
        <v>120</v>
      </c>
    </row>
    <row r="10" spans="2:7" x14ac:dyDescent="0.2">
      <c r="B10" s="19" t="s">
        <v>67</v>
      </c>
      <c r="C10" s="19">
        <v>111101</v>
      </c>
      <c r="D10" s="19" t="s">
        <v>0</v>
      </c>
      <c r="E10" s="20">
        <v>-2277197.6</v>
      </c>
      <c r="F10" s="19">
        <v>2020000000</v>
      </c>
      <c r="G10" s="2" t="s">
        <v>121</v>
      </c>
    </row>
    <row r="11" spans="2:7" x14ac:dyDescent="0.2">
      <c r="B11" s="19" t="s">
        <v>100</v>
      </c>
      <c r="C11" s="19">
        <v>111111</v>
      </c>
      <c r="D11" s="19" t="s">
        <v>99</v>
      </c>
      <c r="E11" s="20">
        <v>4428911.7640000004</v>
      </c>
      <c r="F11" s="19">
        <v>2021900000</v>
      </c>
      <c r="G11" s="2" t="s">
        <v>122</v>
      </c>
    </row>
    <row r="12" spans="2:7" x14ac:dyDescent="0.2">
      <c r="B12" s="19" t="s">
        <v>69</v>
      </c>
      <c r="C12" s="19">
        <v>111111</v>
      </c>
      <c r="D12" s="19" t="s">
        <v>99</v>
      </c>
      <c r="E12" s="20">
        <v>16977.628000000001</v>
      </c>
      <c r="F12" s="19">
        <v>2024080000</v>
      </c>
      <c r="G12" s="2" t="s">
        <v>123</v>
      </c>
    </row>
    <row r="13" spans="2:7" x14ac:dyDescent="0.2">
      <c r="B13" s="19" t="s">
        <v>68</v>
      </c>
      <c r="C13" s="19">
        <v>88</v>
      </c>
      <c r="D13" s="19" t="s">
        <v>32</v>
      </c>
      <c r="E13" s="20">
        <v>2245437.54</v>
      </c>
      <c r="F13" s="19">
        <v>2024090000</v>
      </c>
      <c r="G13" s="2" t="s">
        <v>124</v>
      </c>
    </row>
    <row r="14" spans="2:7" x14ac:dyDescent="0.2">
      <c r="B14" s="19" t="s">
        <v>68</v>
      </c>
      <c r="C14" s="19">
        <v>111111</v>
      </c>
      <c r="D14" s="19" t="s">
        <v>99</v>
      </c>
      <c r="E14" s="20">
        <v>16605.634000000002</v>
      </c>
      <c r="F14" s="19">
        <v>2024090000</v>
      </c>
      <c r="G14" s="2" t="s">
        <v>125</v>
      </c>
    </row>
    <row r="15" spans="2:7" x14ac:dyDescent="0.2">
      <c r="B15" s="19" t="s">
        <v>1</v>
      </c>
      <c r="C15" s="19">
        <v>111111</v>
      </c>
      <c r="D15" s="19" t="s">
        <v>99</v>
      </c>
      <c r="E15" s="20">
        <v>4683394.0460000001</v>
      </c>
      <c r="F15" s="19">
        <v>2041000000</v>
      </c>
      <c r="G15" s="2" t="s">
        <v>126</v>
      </c>
    </row>
    <row r="16" spans="2:7" x14ac:dyDescent="0.2">
      <c r="B16" s="19" t="s">
        <v>70</v>
      </c>
      <c r="C16" s="19">
        <v>111101</v>
      </c>
      <c r="D16" s="19" t="s">
        <v>0</v>
      </c>
      <c r="E16" s="20">
        <v>1143051.5760000001</v>
      </c>
      <c r="F16" s="19">
        <v>2042000000</v>
      </c>
      <c r="G16" s="2" t="s">
        <v>127</v>
      </c>
    </row>
    <row r="17" spans="2:7" x14ac:dyDescent="0.2">
      <c r="B17" s="19" t="s">
        <v>70</v>
      </c>
      <c r="C17" s="19">
        <v>88</v>
      </c>
      <c r="D17" s="19" t="s">
        <v>32</v>
      </c>
      <c r="E17" s="20">
        <v>239379.61800000002</v>
      </c>
      <c r="F17" s="19">
        <v>2042000000</v>
      </c>
      <c r="G17" s="2" t="s">
        <v>128</v>
      </c>
    </row>
    <row r="18" spans="2:7" x14ac:dyDescent="0.2">
      <c r="B18" s="19" t="s">
        <v>71</v>
      </c>
      <c r="C18" s="19">
        <v>111101</v>
      </c>
      <c r="D18" s="19" t="s">
        <v>0</v>
      </c>
      <c r="E18" s="20">
        <v>104913.8</v>
      </c>
      <c r="F18" s="19">
        <v>2045000000</v>
      </c>
      <c r="G18" s="2" t="s">
        <v>129</v>
      </c>
    </row>
    <row r="19" spans="2:7" x14ac:dyDescent="0.2">
      <c r="B19" s="19" t="s">
        <v>72</v>
      </c>
      <c r="C19" s="19">
        <v>111101</v>
      </c>
      <c r="D19" s="19" t="s">
        <v>0</v>
      </c>
      <c r="E19" s="20">
        <v>2003262.2180000001</v>
      </c>
      <c r="F19" s="19">
        <v>2051210000</v>
      </c>
      <c r="G19" s="2" t="s">
        <v>130</v>
      </c>
    </row>
    <row r="20" spans="2:7" x14ac:dyDescent="0.2">
      <c r="B20" s="19" t="s">
        <v>72</v>
      </c>
      <c r="C20" s="19">
        <v>1</v>
      </c>
      <c r="D20" s="19" t="s">
        <v>0</v>
      </c>
      <c r="E20" s="20">
        <v>41981.296000000002</v>
      </c>
      <c r="F20" s="19">
        <v>2051210000</v>
      </c>
      <c r="G20" s="2" t="s">
        <v>131</v>
      </c>
    </row>
    <row r="21" spans="2:7" x14ac:dyDescent="0.2">
      <c r="B21" s="19" t="s">
        <v>73</v>
      </c>
      <c r="C21" s="19" t="s">
        <v>3</v>
      </c>
      <c r="D21" s="19" t="s">
        <v>40</v>
      </c>
      <c r="E21" s="20">
        <v>-2156147.4</v>
      </c>
      <c r="F21" s="19">
        <v>2069010000</v>
      </c>
      <c r="G21" s="2" t="s">
        <v>132</v>
      </c>
    </row>
    <row r="22" spans="2:7" x14ac:dyDescent="0.2">
      <c r="B22" s="19" t="s">
        <v>73</v>
      </c>
      <c r="C22" s="19">
        <v>14</v>
      </c>
      <c r="D22" s="19" t="s">
        <v>41</v>
      </c>
      <c r="E22" s="20">
        <v>-291428.55199999997</v>
      </c>
      <c r="F22" s="19">
        <v>2069010000</v>
      </c>
      <c r="G22" s="2" t="s">
        <v>133</v>
      </c>
    </row>
    <row r="23" spans="2:7" x14ac:dyDescent="0.2">
      <c r="B23" s="19" t="s">
        <v>73</v>
      </c>
      <c r="C23" s="19">
        <v>1037</v>
      </c>
      <c r="D23" s="19" t="s">
        <v>46</v>
      </c>
      <c r="E23" s="20">
        <v>0</v>
      </c>
      <c r="F23" s="19">
        <v>2069010000</v>
      </c>
      <c r="G23" s="2" t="s">
        <v>134</v>
      </c>
    </row>
    <row r="24" spans="2:7" x14ac:dyDescent="0.2">
      <c r="B24" s="19" t="s">
        <v>73</v>
      </c>
      <c r="C24" s="19" t="s">
        <v>4</v>
      </c>
      <c r="D24" s="19" t="s">
        <v>45</v>
      </c>
      <c r="E24" s="20">
        <v>-33736.5</v>
      </c>
      <c r="F24" s="19">
        <v>2069010000</v>
      </c>
      <c r="G24" s="2" t="s">
        <v>135</v>
      </c>
    </row>
    <row r="25" spans="2:7" x14ac:dyDescent="0.2">
      <c r="B25" s="19" t="s">
        <v>73</v>
      </c>
      <c r="C25" s="19">
        <v>1009</v>
      </c>
      <c r="D25" s="19" t="s">
        <v>35</v>
      </c>
      <c r="E25" s="20">
        <v>0</v>
      </c>
      <c r="F25" s="19">
        <v>2069010000</v>
      </c>
      <c r="G25" s="2" t="s">
        <v>136</v>
      </c>
    </row>
    <row r="26" spans="2:7" x14ac:dyDescent="0.2">
      <c r="B26" s="19" t="s">
        <v>73</v>
      </c>
      <c r="C26" s="19">
        <v>1007</v>
      </c>
      <c r="D26" s="19" t="s">
        <v>37</v>
      </c>
      <c r="E26" s="20">
        <v>0</v>
      </c>
      <c r="F26" s="19">
        <v>2069010000</v>
      </c>
      <c r="G26" s="2" t="s">
        <v>137</v>
      </c>
    </row>
    <row r="27" spans="2:7" x14ac:dyDescent="0.2">
      <c r="B27" s="19" t="s">
        <v>73</v>
      </c>
      <c r="C27" s="19">
        <v>1008</v>
      </c>
      <c r="D27" s="19" t="s">
        <v>39</v>
      </c>
      <c r="E27" s="20">
        <v>0</v>
      </c>
      <c r="F27" s="19">
        <v>2069010000</v>
      </c>
      <c r="G27" s="2" t="s">
        <v>138</v>
      </c>
    </row>
    <row r="28" spans="2:7" x14ac:dyDescent="0.2">
      <c r="B28" s="19" t="s">
        <v>73</v>
      </c>
      <c r="C28" s="19">
        <v>1240</v>
      </c>
      <c r="D28" s="19" t="s">
        <v>44</v>
      </c>
      <c r="E28" s="20">
        <v>-199600.4</v>
      </c>
      <c r="F28" s="19">
        <v>2069010000</v>
      </c>
      <c r="G28" s="2" t="s">
        <v>139</v>
      </c>
    </row>
    <row r="29" spans="2:7" x14ac:dyDescent="0.2">
      <c r="B29" s="19" t="s">
        <v>73</v>
      </c>
      <c r="C29" s="19">
        <v>111111</v>
      </c>
      <c r="D29" s="19" t="s">
        <v>99</v>
      </c>
      <c r="E29" s="20">
        <v>-539141.4</v>
      </c>
      <c r="F29" s="19">
        <v>2069010000</v>
      </c>
      <c r="G29" s="2" t="s">
        <v>140</v>
      </c>
    </row>
    <row r="30" spans="2:7" x14ac:dyDescent="0.2">
      <c r="B30" s="19" t="s">
        <v>74</v>
      </c>
      <c r="C30" s="19">
        <v>111111</v>
      </c>
      <c r="D30" s="19" t="s">
        <v>99</v>
      </c>
      <c r="E30" s="20">
        <v>-57.221999999999994</v>
      </c>
      <c r="F30" s="19">
        <v>2069980000</v>
      </c>
      <c r="G30" s="2" t="s">
        <v>141</v>
      </c>
    </row>
    <row r="31" spans="2:7" x14ac:dyDescent="0.2">
      <c r="B31" s="19" t="s">
        <v>75</v>
      </c>
      <c r="C31" s="19">
        <v>111111</v>
      </c>
      <c r="D31" s="19" t="s">
        <v>99</v>
      </c>
      <c r="E31" s="20">
        <v>22314.879999999997</v>
      </c>
      <c r="F31" s="19">
        <v>2070400000</v>
      </c>
      <c r="G31" s="2" t="s">
        <v>142</v>
      </c>
    </row>
    <row r="32" spans="2:7" x14ac:dyDescent="0.2">
      <c r="B32" s="19" t="s">
        <v>76</v>
      </c>
      <c r="C32" s="19">
        <v>88</v>
      </c>
      <c r="D32" s="19" t="s">
        <v>32</v>
      </c>
      <c r="E32" s="20">
        <v>204000</v>
      </c>
      <c r="F32" s="19">
        <v>2070500000</v>
      </c>
      <c r="G32" s="2" t="s">
        <v>143</v>
      </c>
    </row>
    <row r="33" spans="2:7" x14ac:dyDescent="0.2">
      <c r="B33" s="19" t="s">
        <v>76</v>
      </c>
      <c r="C33" s="19">
        <v>111111</v>
      </c>
      <c r="D33" s="19" t="s">
        <v>99</v>
      </c>
      <c r="E33" s="20">
        <v>138.41399999999999</v>
      </c>
      <c r="F33" s="19">
        <v>2070500000</v>
      </c>
      <c r="G33" s="2" t="s">
        <v>144</v>
      </c>
    </row>
    <row r="34" spans="2:7" x14ac:dyDescent="0.2">
      <c r="B34" s="19" t="s">
        <v>77</v>
      </c>
      <c r="C34" s="19">
        <v>111111</v>
      </c>
      <c r="D34" s="19" t="s">
        <v>99</v>
      </c>
      <c r="E34" s="20">
        <v>1127445.872</v>
      </c>
      <c r="F34" s="19">
        <v>2070600000</v>
      </c>
      <c r="G34" s="2" t="s">
        <v>145</v>
      </c>
    </row>
    <row r="35" spans="2:7" x14ac:dyDescent="0.2">
      <c r="B35" s="19" t="s">
        <v>78</v>
      </c>
      <c r="C35" s="19" t="s">
        <v>5</v>
      </c>
      <c r="D35" s="19" t="s">
        <v>42</v>
      </c>
      <c r="E35" s="20">
        <v>133722</v>
      </c>
      <c r="F35" s="19">
        <v>2070900000</v>
      </c>
      <c r="G35" s="2" t="s">
        <v>146</v>
      </c>
    </row>
    <row r="36" spans="2:7" x14ac:dyDescent="0.2">
      <c r="B36" s="19" t="s">
        <v>78</v>
      </c>
      <c r="C36" s="19" t="s">
        <v>6</v>
      </c>
      <c r="D36" s="19" t="s">
        <v>43</v>
      </c>
      <c r="E36" s="20">
        <v>328061.886</v>
      </c>
      <c r="F36" s="19">
        <v>2070900000</v>
      </c>
      <c r="G36" s="2" t="s">
        <v>147</v>
      </c>
    </row>
    <row r="37" spans="2:7" x14ac:dyDescent="0.2">
      <c r="B37" s="19" t="s">
        <v>78</v>
      </c>
      <c r="C37" s="19">
        <v>111111</v>
      </c>
      <c r="D37" s="19" t="s">
        <v>99</v>
      </c>
      <c r="E37" s="20">
        <v>2081304.3219999997</v>
      </c>
      <c r="F37" s="19">
        <v>2070900000</v>
      </c>
      <c r="G37" s="2" t="s">
        <v>148</v>
      </c>
    </row>
    <row r="38" spans="2:7" x14ac:dyDescent="0.2">
      <c r="B38" s="19" t="s">
        <v>7</v>
      </c>
      <c r="C38" s="19">
        <v>111111</v>
      </c>
      <c r="D38" s="19" t="s">
        <v>99</v>
      </c>
      <c r="E38" s="20">
        <v>33410.031999999999</v>
      </c>
      <c r="F38" s="19">
        <v>2071000000</v>
      </c>
      <c r="G38" s="2" t="s">
        <v>149</v>
      </c>
    </row>
    <row r="39" spans="2:7" x14ac:dyDescent="0.2">
      <c r="B39" s="19" t="s">
        <v>79</v>
      </c>
      <c r="C39" s="19">
        <v>111111</v>
      </c>
      <c r="D39" s="19" t="s">
        <v>99</v>
      </c>
      <c r="E39" s="20">
        <v>213090.85199999998</v>
      </c>
      <c r="F39" s="19">
        <v>2071100000</v>
      </c>
      <c r="G39" s="2" t="s">
        <v>150</v>
      </c>
    </row>
    <row r="40" spans="2:7" x14ac:dyDescent="0.2">
      <c r="B40" s="19" t="s">
        <v>8</v>
      </c>
      <c r="C40" s="19">
        <v>111111</v>
      </c>
      <c r="D40" s="19" t="s">
        <v>99</v>
      </c>
      <c r="E40" s="20">
        <v>1813525.004</v>
      </c>
      <c r="F40" s="19">
        <v>2071209200</v>
      </c>
      <c r="G40" s="2" t="s">
        <v>151</v>
      </c>
    </row>
    <row r="41" spans="2:7" x14ac:dyDescent="0.2">
      <c r="B41" s="19" t="s">
        <v>80</v>
      </c>
      <c r="C41" s="19">
        <v>111111</v>
      </c>
      <c r="D41" s="19" t="s">
        <v>99</v>
      </c>
      <c r="E41" s="20">
        <v>5552.2</v>
      </c>
      <c r="F41" s="19">
        <v>2071209400</v>
      </c>
      <c r="G41" s="2" t="s">
        <v>152</v>
      </c>
    </row>
    <row r="42" spans="2:7" x14ac:dyDescent="0.2">
      <c r="B42" s="19" t="s">
        <v>81</v>
      </c>
      <c r="C42" s="19">
        <v>111111</v>
      </c>
      <c r="D42" s="19" t="s">
        <v>99</v>
      </c>
      <c r="E42" s="20">
        <v>43868.975999999995</v>
      </c>
      <c r="F42" s="19">
        <v>2071209500</v>
      </c>
      <c r="G42" s="2" t="s">
        <v>153</v>
      </c>
    </row>
    <row r="43" spans="2:7" x14ac:dyDescent="0.2">
      <c r="B43" s="19" t="s">
        <v>82</v>
      </c>
      <c r="C43" s="19">
        <v>111101</v>
      </c>
      <c r="D43" s="19" t="s">
        <v>0</v>
      </c>
      <c r="E43" s="20">
        <v>10934.671999999999</v>
      </c>
      <c r="F43" s="19">
        <v>2071980000</v>
      </c>
      <c r="G43" s="2" t="s">
        <v>154</v>
      </c>
    </row>
    <row r="44" spans="2:7" x14ac:dyDescent="0.2">
      <c r="B44" s="19" t="s">
        <v>83</v>
      </c>
      <c r="C44" s="19">
        <v>111111</v>
      </c>
      <c r="D44" s="19" t="s">
        <v>99</v>
      </c>
      <c r="E44" s="20">
        <v>20400</v>
      </c>
      <c r="F44" s="19">
        <v>2079022000</v>
      </c>
      <c r="G44" s="2" t="s">
        <v>155</v>
      </c>
    </row>
    <row r="45" spans="2:7" x14ac:dyDescent="0.2">
      <c r="B45" s="19" t="s">
        <v>84</v>
      </c>
      <c r="C45" s="19">
        <v>105</v>
      </c>
      <c r="D45" s="19" t="s">
        <v>33</v>
      </c>
      <c r="E45" s="20">
        <v>0</v>
      </c>
      <c r="F45" s="19">
        <v>2079070000</v>
      </c>
      <c r="G45" s="2" t="s">
        <v>156</v>
      </c>
    </row>
    <row r="46" spans="2:7" x14ac:dyDescent="0.2">
      <c r="B46" s="19" t="s">
        <v>84</v>
      </c>
      <c r="C46" s="19">
        <v>111111</v>
      </c>
      <c r="D46" s="19" t="s">
        <v>99</v>
      </c>
      <c r="E46" s="20">
        <v>563918.152</v>
      </c>
      <c r="F46" s="19">
        <v>2079070000</v>
      </c>
      <c r="G46" s="2" t="s">
        <v>157</v>
      </c>
    </row>
    <row r="47" spans="2:7" x14ac:dyDescent="0.2">
      <c r="B47" s="19" t="s">
        <v>85</v>
      </c>
      <c r="C47" s="19">
        <v>1009</v>
      </c>
      <c r="D47" s="19" t="s">
        <v>35</v>
      </c>
      <c r="E47" s="20">
        <v>0</v>
      </c>
      <c r="F47" s="19">
        <v>2079080000</v>
      </c>
      <c r="G47" s="2" t="s">
        <v>158</v>
      </c>
    </row>
    <row r="48" spans="2:7" x14ac:dyDescent="0.2">
      <c r="B48" s="19" t="s">
        <v>85</v>
      </c>
      <c r="C48" s="19">
        <v>1007</v>
      </c>
      <c r="D48" s="19" t="s">
        <v>37</v>
      </c>
      <c r="E48" s="20">
        <v>0</v>
      </c>
      <c r="F48" s="19">
        <v>2079080000</v>
      </c>
      <c r="G48" s="2" t="s">
        <v>159</v>
      </c>
    </row>
    <row r="49" spans="2:7" x14ac:dyDescent="0.2">
      <c r="B49" s="19" t="s">
        <v>85</v>
      </c>
      <c r="C49" s="19">
        <v>1008</v>
      </c>
      <c r="D49" s="19" t="s">
        <v>39</v>
      </c>
      <c r="E49" s="20">
        <v>0</v>
      </c>
      <c r="F49" s="19">
        <v>2079080000</v>
      </c>
      <c r="G49" s="2" t="s">
        <v>160</v>
      </c>
    </row>
    <row r="50" spans="2:7" x14ac:dyDescent="0.2">
      <c r="B50" s="19" t="s">
        <v>86</v>
      </c>
      <c r="C50" s="19">
        <v>1009</v>
      </c>
      <c r="D50" s="19" t="s">
        <v>35</v>
      </c>
      <c r="E50" s="20">
        <v>0</v>
      </c>
      <c r="F50" s="19">
        <v>2082280000</v>
      </c>
      <c r="G50" s="2" t="s">
        <v>161</v>
      </c>
    </row>
    <row r="51" spans="2:7" x14ac:dyDescent="0.2">
      <c r="B51" s="19" t="s">
        <v>86</v>
      </c>
      <c r="C51" s="19">
        <v>1007</v>
      </c>
      <c r="D51" s="19" t="s">
        <v>37</v>
      </c>
      <c r="E51" s="20">
        <v>0</v>
      </c>
      <c r="F51" s="19">
        <v>2082280000</v>
      </c>
      <c r="G51" s="2" t="s">
        <v>162</v>
      </c>
    </row>
    <row r="52" spans="2:7" x14ac:dyDescent="0.2">
      <c r="B52" s="19" t="s">
        <v>86</v>
      </c>
      <c r="C52" s="19">
        <v>1008</v>
      </c>
      <c r="D52" s="19" t="s">
        <v>39</v>
      </c>
      <c r="E52" s="20">
        <v>0</v>
      </c>
      <c r="F52" s="19">
        <v>2082280000</v>
      </c>
      <c r="G52" s="2" t="s">
        <v>163</v>
      </c>
    </row>
    <row r="53" spans="2:7" x14ac:dyDescent="0.2">
      <c r="B53" s="19" t="s">
        <v>86</v>
      </c>
      <c r="C53" s="19">
        <v>1240</v>
      </c>
      <c r="D53" s="19" t="s">
        <v>44</v>
      </c>
      <c r="E53" s="20">
        <v>-35810.228000000003</v>
      </c>
      <c r="F53" s="19">
        <v>2082280000</v>
      </c>
      <c r="G53" s="2" t="s">
        <v>164</v>
      </c>
    </row>
    <row r="54" spans="2:7" x14ac:dyDescent="0.2">
      <c r="B54" s="19" t="s">
        <v>86</v>
      </c>
      <c r="C54" s="19">
        <v>111111</v>
      </c>
      <c r="D54" s="19" t="s">
        <v>99</v>
      </c>
      <c r="E54" s="20">
        <v>-51927.417999999998</v>
      </c>
      <c r="F54" s="19">
        <v>2082280000</v>
      </c>
      <c r="G54" s="2" t="s">
        <v>165</v>
      </c>
    </row>
    <row r="55" spans="2:7" x14ac:dyDescent="0.2">
      <c r="B55" s="19" t="s">
        <v>9</v>
      </c>
      <c r="C55" s="19">
        <v>111101</v>
      </c>
      <c r="D55" s="19" t="s">
        <v>0</v>
      </c>
      <c r="E55" s="20">
        <v>-862270.63399999996</v>
      </c>
      <c r="F55" s="19">
        <v>2082202000</v>
      </c>
      <c r="G55" s="2" t="s">
        <v>166</v>
      </c>
    </row>
    <row r="56" spans="2:7" x14ac:dyDescent="0.2">
      <c r="B56" s="19" t="s">
        <v>87</v>
      </c>
      <c r="C56" s="19">
        <v>111101</v>
      </c>
      <c r="D56" s="19" t="s">
        <v>0</v>
      </c>
      <c r="E56" s="20">
        <v>22763</v>
      </c>
      <c r="F56" s="19">
        <v>2082208200</v>
      </c>
      <c r="G56" s="2" t="s">
        <v>167</v>
      </c>
    </row>
    <row r="57" spans="2:7" x14ac:dyDescent="0.2">
      <c r="B57" s="19" t="s">
        <v>88</v>
      </c>
      <c r="C57" s="19">
        <v>88</v>
      </c>
      <c r="D57" s="19" t="s">
        <v>32</v>
      </c>
      <c r="E57" s="20">
        <v>2930430.0120000001</v>
      </c>
      <c r="F57" s="19">
        <v>2082214000</v>
      </c>
      <c r="G57" s="2" t="s">
        <v>168</v>
      </c>
    </row>
    <row r="58" spans="2:7" x14ac:dyDescent="0.2">
      <c r="B58" s="19" t="s">
        <v>89</v>
      </c>
      <c r="C58" s="19">
        <v>111101</v>
      </c>
      <c r="D58" s="19" t="s">
        <v>0</v>
      </c>
      <c r="E58" s="20">
        <v>-49378.641999999993</v>
      </c>
      <c r="F58" s="19">
        <v>2091200000</v>
      </c>
      <c r="G58" s="2" t="s">
        <v>169</v>
      </c>
    </row>
    <row r="59" spans="2:7" x14ac:dyDescent="0.2">
      <c r="B59" s="19" t="s">
        <v>90</v>
      </c>
      <c r="C59" s="19">
        <v>111101</v>
      </c>
      <c r="D59" s="19" t="s">
        <v>0</v>
      </c>
      <c r="E59" s="20">
        <v>516250.67</v>
      </c>
      <c r="F59" s="19">
        <v>2091200001</v>
      </c>
      <c r="G59" s="2" t="s">
        <v>170</v>
      </c>
    </row>
    <row r="60" spans="2:7" x14ac:dyDescent="0.2">
      <c r="B60" s="19" t="s">
        <v>91</v>
      </c>
      <c r="C60" s="19">
        <v>111101</v>
      </c>
      <c r="D60" s="19" t="s">
        <v>0</v>
      </c>
      <c r="E60" s="20">
        <v>21593.093999999997</v>
      </c>
      <c r="F60" s="19">
        <v>2092200000</v>
      </c>
      <c r="G60" s="2" t="s">
        <v>171</v>
      </c>
    </row>
    <row r="61" spans="2:7" x14ac:dyDescent="0.2">
      <c r="B61" s="21" t="s">
        <v>64</v>
      </c>
      <c r="C61" s="21">
        <v>111101</v>
      </c>
      <c r="D61" s="21" t="s">
        <v>0</v>
      </c>
      <c r="E61" s="22">
        <v>-2904117.9939999986</v>
      </c>
      <c r="F61" s="21">
        <v>2999999999</v>
      </c>
      <c r="G61" s="2" t="s">
        <v>172</v>
      </c>
    </row>
    <row r="62" spans="2:7" x14ac:dyDescent="0.2">
      <c r="C62" s="5"/>
    </row>
    <row r="63" spans="2:7" x14ac:dyDescent="0.2">
      <c r="C63" s="5"/>
    </row>
    <row r="64" spans="2:7" x14ac:dyDescent="0.2">
      <c r="C64" s="5"/>
    </row>
    <row r="65" spans="3:3" x14ac:dyDescent="0.2">
      <c r="C65" s="5"/>
    </row>
    <row r="66" spans="3:3" x14ac:dyDescent="0.2">
      <c r="C66" s="5"/>
    </row>
    <row r="67" spans="3:3" x14ac:dyDescent="0.2">
      <c r="C67" s="5"/>
    </row>
    <row r="68" spans="3:3" x14ac:dyDescent="0.2">
      <c r="C68" s="5"/>
    </row>
    <row r="69" spans="3:3" x14ac:dyDescent="0.2">
      <c r="C69" s="5"/>
    </row>
    <row r="70" spans="3:3" x14ac:dyDescent="0.2">
      <c r="C70" s="5"/>
    </row>
    <row r="71" spans="3:3" x14ac:dyDescent="0.2">
      <c r="C71" s="5"/>
    </row>
    <row r="72" spans="3:3" x14ac:dyDescent="0.2">
      <c r="C72" s="5"/>
    </row>
    <row r="73" spans="3:3" x14ac:dyDescent="0.2">
      <c r="C73" s="5"/>
    </row>
    <row r="74" spans="3:3" x14ac:dyDescent="0.2">
      <c r="C74" s="5"/>
    </row>
    <row r="75" spans="3:3" x14ac:dyDescent="0.2">
      <c r="C75" s="5"/>
    </row>
    <row r="76" spans="3:3" x14ac:dyDescent="0.2">
      <c r="C76" s="5"/>
    </row>
    <row r="77" spans="3:3" x14ac:dyDescent="0.2">
      <c r="C77" s="5"/>
    </row>
    <row r="78" spans="3:3" x14ac:dyDescent="0.2">
      <c r="C78" s="5"/>
    </row>
    <row r="79" spans="3:3" x14ac:dyDescent="0.2">
      <c r="C79" s="5"/>
    </row>
    <row r="80" spans="3:3" x14ac:dyDescent="0.2">
      <c r="C80" s="5"/>
    </row>
    <row r="81" spans="3:3" x14ac:dyDescent="0.2">
      <c r="C81" s="5"/>
    </row>
    <row r="82" spans="3:3" x14ac:dyDescent="0.2">
      <c r="C82" s="5"/>
    </row>
    <row r="83" spans="3:3" x14ac:dyDescent="0.2">
      <c r="C83" s="5"/>
    </row>
    <row r="84" spans="3:3" x14ac:dyDescent="0.2">
      <c r="C84" s="5"/>
    </row>
    <row r="85" spans="3:3" x14ac:dyDescent="0.2">
      <c r="C85" s="5"/>
    </row>
    <row r="86" spans="3:3" x14ac:dyDescent="0.2">
      <c r="C86" s="5"/>
    </row>
    <row r="87" spans="3:3" x14ac:dyDescent="0.2">
      <c r="C87" s="5"/>
    </row>
    <row r="88" spans="3:3" x14ac:dyDescent="0.2">
      <c r="C88" s="5"/>
    </row>
    <row r="89" spans="3:3" x14ac:dyDescent="0.2">
      <c r="C89" s="5"/>
    </row>
    <row r="90" spans="3:3" x14ac:dyDescent="0.2">
      <c r="C90" s="5"/>
    </row>
    <row r="91" spans="3:3" x14ac:dyDescent="0.2">
      <c r="C91" s="5"/>
    </row>
    <row r="92" spans="3:3" x14ac:dyDescent="0.2">
      <c r="C92" s="5"/>
    </row>
    <row r="93" spans="3:3" x14ac:dyDescent="0.2">
      <c r="C93" s="5"/>
    </row>
    <row r="94" spans="3:3" x14ac:dyDescent="0.2">
      <c r="C94" s="5"/>
    </row>
    <row r="95" spans="3:3" x14ac:dyDescent="0.2">
      <c r="C95" s="5"/>
    </row>
    <row r="96" spans="3:3" x14ac:dyDescent="0.2">
      <c r="C96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workbookViewId="0">
      <selection activeCell="E5" sqref="E5"/>
    </sheetView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9.88671875" style="2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109</v>
      </c>
    </row>
    <row r="4" spans="2:7" x14ac:dyDescent="0.2">
      <c r="B4" s="19" t="s">
        <v>111</v>
      </c>
      <c r="C4" s="19" t="s">
        <v>31</v>
      </c>
      <c r="D4" s="19" t="s">
        <v>112</v>
      </c>
      <c r="E4" s="19" t="s">
        <v>113</v>
      </c>
      <c r="F4" s="19" t="s">
        <v>114</v>
      </c>
      <c r="G4" s="5" t="s">
        <v>115</v>
      </c>
    </row>
    <row r="5" spans="2:7" x14ac:dyDescent="0.2">
      <c r="B5" s="5" t="s">
        <v>65</v>
      </c>
      <c r="C5" s="5">
        <v>105</v>
      </c>
      <c r="D5" s="5" t="s">
        <v>33</v>
      </c>
      <c r="E5" s="15">
        <v>-355396.61499999999</v>
      </c>
      <c r="F5" s="5">
        <v>2001110000</v>
      </c>
      <c r="G5" s="2" t="s">
        <v>173</v>
      </c>
    </row>
    <row r="6" spans="2:7" x14ac:dyDescent="0.2">
      <c r="B6" s="5" t="s">
        <v>65</v>
      </c>
      <c r="C6" s="5">
        <v>111111</v>
      </c>
      <c r="D6" s="5" t="s">
        <v>99</v>
      </c>
      <c r="E6" s="15">
        <v>-15792898.75</v>
      </c>
      <c r="F6" s="5">
        <v>2001110000</v>
      </c>
      <c r="G6" s="2" t="s">
        <v>116</v>
      </c>
    </row>
    <row r="7" spans="2:7" x14ac:dyDescent="0.2">
      <c r="B7" s="5" t="s">
        <v>66</v>
      </c>
      <c r="C7" s="5">
        <v>111111</v>
      </c>
      <c r="D7" s="5" t="s">
        <v>99</v>
      </c>
      <c r="E7" s="15">
        <v>-6960217.6449999996</v>
      </c>
      <c r="F7" s="5">
        <v>2001190000</v>
      </c>
      <c r="G7" s="2" t="s">
        <v>117</v>
      </c>
    </row>
    <row r="8" spans="2:7" x14ac:dyDescent="0.2">
      <c r="B8" s="5" t="s">
        <v>67</v>
      </c>
      <c r="C8" s="5" t="s">
        <v>10</v>
      </c>
      <c r="D8" s="5" t="s">
        <v>47</v>
      </c>
      <c r="E8" s="15">
        <v>-420017.14999999997</v>
      </c>
      <c r="F8" s="5">
        <v>2020000000</v>
      </c>
      <c r="G8" s="2" t="s">
        <v>204</v>
      </c>
    </row>
    <row r="9" spans="2:7" x14ac:dyDescent="0.2">
      <c r="B9" s="5" t="s">
        <v>67</v>
      </c>
      <c r="C9" s="5">
        <v>1007</v>
      </c>
      <c r="D9" s="5" t="s">
        <v>37</v>
      </c>
      <c r="E9" s="15">
        <v>-89234.880000000005</v>
      </c>
      <c r="F9" s="5">
        <v>2020000000</v>
      </c>
      <c r="G9" s="2" t="s">
        <v>119</v>
      </c>
    </row>
    <row r="10" spans="2:7" x14ac:dyDescent="0.2">
      <c r="B10" s="5" t="s">
        <v>67</v>
      </c>
      <c r="C10" s="5">
        <v>1008</v>
      </c>
      <c r="D10" s="5" t="s">
        <v>39</v>
      </c>
      <c r="E10" s="15">
        <v>-26173</v>
      </c>
      <c r="F10" s="5">
        <v>2020000000</v>
      </c>
      <c r="G10" s="2" t="s">
        <v>120</v>
      </c>
    </row>
    <row r="11" spans="2:7" x14ac:dyDescent="0.2">
      <c r="B11" s="5" t="s">
        <v>67</v>
      </c>
      <c r="C11" s="5">
        <v>111101</v>
      </c>
      <c r="D11" s="5" t="s">
        <v>0</v>
      </c>
      <c r="E11" s="15">
        <v>-209401.92</v>
      </c>
      <c r="F11" s="5">
        <v>2020000000</v>
      </c>
      <c r="G11" s="2" t="s">
        <v>121</v>
      </c>
    </row>
    <row r="12" spans="2:7" x14ac:dyDescent="0.2">
      <c r="B12" s="5" t="s">
        <v>101</v>
      </c>
      <c r="C12" s="5">
        <v>111111</v>
      </c>
      <c r="D12" s="5" t="s">
        <v>99</v>
      </c>
      <c r="E12" s="15">
        <v>14589.33</v>
      </c>
      <c r="F12" s="5">
        <v>2021210000</v>
      </c>
      <c r="G12" s="2" t="s">
        <v>174</v>
      </c>
    </row>
    <row r="13" spans="2:7" x14ac:dyDescent="0.2">
      <c r="B13" s="5" t="s">
        <v>100</v>
      </c>
      <c r="C13" s="5">
        <v>111111</v>
      </c>
      <c r="D13" s="5" t="s">
        <v>99</v>
      </c>
      <c r="E13" s="15">
        <v>5463188.8250000002</v>
      </c>
      <c r="F13" s="5">
        <v>2021900000</v>
      </c>
      <c r="G13" s="2" t="s">
        <v>122</v>
      </c>
    </row>
    <row r="14" spans="2:7" x14ac:dyDescent="0.2">
      <c r="B14" s="5" t="s">
        <v>69</v>
      </c>
      <c r="C14" s="5">
        <v>111111</v>
      </c>
      <c r="D14" s="5" t="s">
        <v>99</v>
      </c>
      <c r="E14" s="15">
        <v>343675</v>
      </c>
      <c r="F14" s="5">
        <v>2024080000</v>
      </c>
      <c r="G14" s="2" t="s">
        <v>123</v>
      </c>
    </row>
    <row r="15" spans="2:7" x14ac:dyDescent="0.2">
      <c r="B15" s="5" t="s">
        <v>68</v>
      </c>
      <c r="C15" s="5">
        <v>19</v>
      </c>
      <c r="D15" s="5" t="s">
        <v>41</v>
      </c>
      <c r="E15" s="15">
        <v>38521</v>
      </c>
      <c r="F15" s="5">
        <v>2024090000</v>
      </c>
      <c r="G15" s="2" t="s">
        <v>205</v>
      </c>
    </row>
    <row r="16" spans="2:7" x14ac:dyDescent="0.2">
      <c r="B16" s="5" t="s">
        <v>68</v>
      </c>
      <c r="C16" s="5">
        <v>88</v>
      </c>
      <c r="D16" s="5" t="s">
        <v>32</v>
      </c>
      <c r="E16" s="15">
        <v>1980162.23</v>
      </c>
      <c r="F16" s="5">
        <v>2024090000</v>
      </c>
      <c r="G16" s="2" t="s">
        <v>124</v>
      </c>
    </row>
    <row r="17" spans="2:7" x14ac:dyDescent="0.2">
      <c r="B17" s="5" t="s">
        <v>68</v>
      </c>
      <c r="C17" s="5" t="s">
        <v>11</v>
      </c>
      <c r="D17" s="5" t="s">
        <v>34</v>
      </c>
      <c r="E17" s="15">
        <v>1820</v>
      </c>
      <c r="F17" s="5">
        <v>2024090000</v>
      </c>
      <c r="G17" s="2" t="s">
        <v>176</v>
      </c>
    </row>
    <row r="18" spans="2:7" x14ac:dyDescent="0.2">
      <c r="B18" s="5" t="s">
        <v>68</v>
      </c>
      <c r="C18" s="5" t="s">
        <v>12</v>
      </c>
      <c r="D18" s="5" t="s">
        <v>36</v>
      </c>
      <c r="E18" s="15">
        <v>10448.129999999999</v>
      </c>
      <c r="F18" s="5">
        <v>2024090000</v>
      </c>
      <c r="G18" s="2" t="s">
        <v>177</v>
      </c>
    </row>
    <row r="19" spans="2:7" x14ac:dyDescent="0.2">
      <c r="B19" s="5" t="s">
        <v>68</v>
      </c>
      <c r="C19" s="5" t="s">
        <v>13</v>
      </c>
      <c r="D19" s="5" t="s">
        <v>49</v>
      </c>
      <c r="E19" s="15">
        <v>10412.5</v>
      </c>
      <c r="F19" s="5">
        <v>2024090000</v>
      </c>
      <c r="G19" s="2" t="s">
        <v>206</v>
      </c>
    </row>
    <row r="20" spans="2:7" x14ac:dyDescent="0.2">
      <c r="B20" s="5" t="s">
        <v>68</v>
      </c>
      <c r="C20" s="5">
        <v>111111</v>
      </c>
      <c r="D20" s="5" t="s">
        <v>99</v>
      </c>
      <c r="E20" s="15">
        <v>27148.625</v>
      </c>
      <c r="F20" s="5">
        <v>2024090000</v>
      </c>
      <c r="G20" s="2" t="s">
        <v>125</v>
      </c>
    </row>
    <row r="21" spans="2:7" x14ac:dyDescent="0.2">
      <c r="B21" s="5" t="s">
        <v>1</v>
      </c>
      <c r="C21" s="5">
        <v>111111</v>
      </c>
      <c r="D21" s="5" t="s">
        <v>99</v>
      </c>
      <c r="E21" s="15">
        <v>5507141.0549999997</v>
      </c>
      <c r="F21" s="5">
        <v>2041000000</v>
      </c>
      <c r="G21" s="2" t="s">
        <v>126</v>
      </c>
    </row>
    <row r="22" spans="2:7" x14ac:dyDescent="0.2">
      <c r="B22" s="5" t="s">
        <v>2</v>
      </c>
      <c r="C22" s="5">
        <v>111101</v>
      </c>
      <c r="D22" s="5" t="s">
        <v>0</v>
      </c>
      <c r="E22" s="15">
        <v>1752994.18</v>
      </c>
      <c r="F22" s="5">
        <v>2042000000</v>
      </c>
      <c r="G22" s="2" t="s">
        <v>127</v>
      </c>
    </row>
    <row r="23" spans="2:7" x14ac:dyDescent="0.2">
      <c r="B23" s="5" t="s">
        <v>70</v>
      </c>
      <c r="C23" s="5">
        <v>111101</v>
      </c>
      <c r="D23" s="5" t="s">
        <v>0</v>
      </c>
      <c r="E23" s="15">
        <v>304303.86000000004</v>
      </c>
      <c r="F23" s="5">
        <v>2042000000</v>
      </c>
      <c r="G23" s="2" t="s">
        <v>127</v>
      </c>
    </row>
    <row r="24" spans="2:7" x14ac:dyDescent="0.2">
      <c r="B24" s="5" t="s">
        <v>71</v>
      </c>
      <c r="C24" s="5">
        <v>111101</v>
      </c>
      <c r="D24" s="5" t="s">
        <v>0</v>
      </c>
      <c r="E24" s="15">
        <v>500500</v>
      </c>
      <c r="F24" s="5">
        <v>2045000000</v>
      </c>
      <c r="G24" s="2" t="s">
        <v>129</v>
      </c>
    </row>
    <row r="25" spans="2:7" x14ac:dyDescent="0.2">
      <c r="B25" s="5" t="s">
        <v>14</v>
      </c>
      <c r="C25" s="5">
        <v>111101</v>
      </c>
      <c r="D25" s="5" t="s">
        <v>0</v>
      </c>
      <c r="E25" s="15">
        <v>6919.8499999999995</v>
      </c>
      <c r="F25" s="5">
        <v>2049000000</v>
      </c>
      <c r="G25" s="2" t="s">
        <v>207</v>
      </c>
    </row>
    <row r="26" spans="2:7" x14ac:dyDescent="0.2">
      <c r="B26" s="5" t="s">
        <v>72</v>
      </c>
      <c r="C26" s="5">
        <v>111101</v>
      </c>
      <c r="D26" s="5" t="s">
        <v>0</v>
      </c>
      <c r="E26" s="15">
        <v>1897676.87</v>
      </c>
      <c r="F26" s="5">
        <v>2051210000</v>
      </c>
      <c r="G26" s="2" t="s">
        <v>130</v>
      </c>
    </row>
    <row r="27" spans="2:7" x14ac:dyDescent="0.2">
      <c r="B27" s="5" t="s">
        <v>72</v>
      </c>
      <c r="C27" s="5">
        <v>111101</v>
      </c>
      <c r="D27" s="5" t="s">
        <v>0</v>
      </c>
      <c r="E27" s="15">
        <v>146328.94499999998</v>
      </c>
      <c r="F27" s="5">
        <v>2051260000</v>
      </c>
      <c r="G27" s="2" t="s">
        <v>181</v>
      </c>
    </row>
    <row r="28" spans="2:7" x14ac:dyDescent="0.2">
      <c r="B28" s="5" t="s">
        <v>15</v>
      </c>
      <c r="C28" s="5">
        <v>111111</v>
      </c>
      <c r="D28" s="5" t="s">
        <v>99</v>
      </c>
      <c r="E28" s="15">
        <v>-121553.07499999998</v>
      </c>
      <c r="F28" s="5">
        <v>2060220000</v>
      </c>
      <c r="G28" s="2" t="s">
        <v>208</v>
      </c>
    </row>
    <row r="29" spans="2:7" x14ac:dyDescent="0.2">
      <c r="B29" s="5" t="s">
        <v>73</v>
      </c>
      <c r="C29" s="5" t="s">
        <v>3</v>
      </c>
      <c r="D29" s="5" t="s">
        <v>40</v>
      </c>
      <c r="E29" s="15">
        <v>-1643711.145</v>
      </c>
      <c r="F29" s="5">
        <v>2069010000</v>
      </c>
      <c r="G29" s="2" t="s">
        <v>132</v>
      </c>
    </row>
    <row r="30" spans="2:7" x14ac:dyDescent="0.2">
      <c r="B30" s="5" t="s">
        <v>73</v>
      </c>
      <c r="C30" s="5">
        <v>19</v>
      </c>
      <c r="D30" s="5" t="s">
        <v>41</v>
      </c>
      <c r="E30" s="15">
        <v>-416278.66</v>
      </c>
      <c r="F30" s="5">
        <v>2069010000</v>
      </c>
      <c r="G30" s="2" t="s">
        <v>184</v>
      </c>
    </row>
    <row r="31" spans="2:7" x14ac:dyDescent="0.2">
      <c r="B31" s="5" t="s">
        <v>73</v>
      </c>
      <c r="C31" s="5" t="s">
        <v>16</v>
      </c>
      <c r="D31" s="5" t="s">
        <v>51</v>
      </c>
      <c r="E31" s="15">
        <v>-364243.84499999997</v>
      </c>
      <c r="F31" s="5">
        <v>2069010000</v>
      </c>
      <c r="G31" s="2" t="s">
        <v>185</v>
      </c>
    </row>
    <row r="32" spans="2:7" x14ac:dyDescent="0.2">
      <c r="B32" s="5" t="s">
        <v>73</v>
      </c>
      <c r="C32" s="5" t="s">
        <v>10</v>
      </c>
      <c r="D32" s="5" t="s">
        <v>47</v>
      </c>
      <c r="E32" s="15">
        <v>0</v>
      </c>
      <c r="F32" s="5">
        <v>2069010000</v>
      </c>
      <c r="G32" s="2" t="s">
        <v>186</v>
      </c>
    </row>
    <row r="33" spans="2:7" x14ac:dyDescent="0.2">
      <c r="B33" s="5" t="s">
        <v>73</v>
      </c>
      <c r="C33" s="5">
        <v>1009</v>
      </c>
      <c r="D33" s="5" t="s">
        <v>35</v>
      </c>
      <c r="E33" s="15">
        <v>0</v>
      </c>
      <c r="F33" s="5">
        <v>2069010000</v>
      </c>
      <c r="G33" s="2" t="s">
        <v>136</v>
      </c>
    </row>
    <row r="34" spans="2:7" x14ac:dyDescent="0.2">
      <c r="B34" s="5" t="s">
        <v>73</v>
      </c>
      <c r="C34" s="5">
        <v>1007</v>
      </c>
      <c r="D34" s="5" t="s">
        <v>37</v>
      </c>
      <c r="E34" s="15">
        <v>0</v>
      </c>
      <c r="F34" s="5">
        <v>2069010000</v>
      </c>
      <c r="G34" s="2" t="s">
        <v>137</v>
      </c>
    </row>
    <row r="35" spans="2:7" x14ac:dyDescent="0.2">
      <c r="B35" s="5" t="s">
        <v>73</v>
      </c>
      <c r="C35" s="5">
        <v>1008</v>
      </c>
      <c r="D35" s="5" t="s">
        <v>39</v>
      </c>
      <c r="E35" s="15">
        <v>0</v>
      </c>
      <c r="F35" s="5">
        <v>2069010000</v>
      </c>
      <c r="G35" s="2" t="s">
        <v>138</v>
      </c>
    </row>
    <row r="36" spans="2:7" x14ac:dyDescent="0.2">
      <c r="B36" s="5" t="s">
        <v>73</v>
      </c>
      <c r="C36" s="5">
        <v>1240</v>
      </c>
      <c r="D36" s="5" t="s">
        <v>44</v>
      </c>
      <c r="E36" s="15">
        <v>-10461.36</v>
      </c>
      <c r="F36" s="5">
        <v>2069010000</v>
      </c>
      <c r="G36" s="2" t="s">
        <v>139</v>
      </c>
    </row>
    <row r="37" spans="2:7" x14ac:dyDescent="0.2">
      <c r="B37" s="5" t="s">
        <v>73</v>
      </c>
      <c r="C37" s="5">
        <v>1007</v>
      </c>
      <c r="D37" s="5" t="s">
        <v>38</v>
      </c>
      <c r="E37" s="15">
        <v>0</v>
      </c>
      <c r="F37" s="5">
        <v>2069010000</v>
      </c>
      <c r="G37" s="2" t="s">
        <v>137</v>
      </c>
    </row>
    <row r="38" spans="2:7" x14ac:dyDescent="0.2">
      <c r="B38" s="5" t="s">
        <v>73</v>
      </c>
      <c r="C38" s="5" t="s">
        <v>17</v>
      </c>
      <c r="D38" s="5" t="s">
        <v>52</v>
      </c>
      <c r="E38" s="15">
        <v>-482611.04499999998</v>
      </c>
      <c r="F38" s="5">
        <v>2069010000</v>
      </c>
      <c r="G38" s="2" t="s">
        <v>188</v>
      </c>
    </row>
    <row r="39" spans="2:7" x14ac:dyDescent="0.2">
      <c r="B39" s="5" t="s">
        <v>73</v>
      </c>
      <c r="C39" s="5">
        <v>111111</v>
      </c>
      <c r="D39" s="5" t="s">
        <v>99</v>
      </c>
      <c r="E39" s="15">
        <v>-6785.94</v>
      </c>
      <c r="F39" s="5">
        <v>2069010000</v>
      </c>
      <c r="G39" s="2" t="s">
        <v>140</v>
      </c>
    </row>
    <row r="40" spans="2:7" x14ac:dyDescent="0.2">
      <c r="B40" s="5" t="s">
        <v>74</v>
      </c>
      <c r="C40" s="5">
        <v>88</v>
      </c>
      <c r="D40" s="5" t="s">
        <v>32</v>
      </c>
      <c r="E40" s="15">
        <v>-2436.35</v>
      </c>
      <c r="F40" s="5">
        <v>2069980000</v>
      </c>
      <c r="G40" s="2" t="s">
        <v>209</v>
      </c>
    </row>
    <row r="41" spans="2:7" x14ac:dyDescent="0.2">
      <c r="B41" s="5" t="s">
        <v>74</v>
      </c>
      <c r="C41" s="5">
        <v>111111</v>
      </c>
      <c r="D41" s="5" t="s">
        <v>99</v>
      </c>
      <c r="E41" s="15">
        <v>9793.84</v>
      </c>
      <c r="F41" s="5">
        <v>2069980000</v>
      </c>
      <c r="G41" s="2" t="s">
        <v>141</v>
      </c>
    </row>
    <row r="42" spans="2:7" x14ac:dyDescent="0.2">
      <c r="B42" s="5" t="s">
        <v>18</v>
      </c>
      <c r="C42" s="5">
        <v>111101</v>
      </c>
      <c r="D42" s="5" t="s">
        <v>0</v>
      </c>
      <c r="E42" s="15">
        <v>81.339999999999989</v>
      </c>
      <c r="F42" s="5">
        <v>2070290000</v>
      </c>
      <c r="G42" s="2" t="s">
        <v>210</v>
      </c>
    </row>
    <row r="43" spans="2:7" x14ac:dyDescent="0.2">
      <c r="B43" s="5" t="s">
        <v>75</v>
      </c>
      <c r="C43" s="5">
        <v>111111</v>
      </c>
      <c r="D43" s="5" t="s">
        <v>99</v>
      </c>
      <c r="E43" s="15">
        <v>65947.7</v>
      </c>
      <c r="F43" s="5">
        <v>2070400000</v>
      </c>
      <c r="G43" s="2" t="s">
        <v>142</v>
      </c>
    </row>
    <row r="44" spans="2:7" x14ac:dyDescent="0.2">
      <c r="B44" s="5" t="s">
        <v>76</v>
      </c>
      <c r="C44" s="5">
        <v>111111</v>
      </c>
      <c r="D44" s="5" t="s">
        <v>99</v>
      </c>
      <c r="E44" s="15">
        <v>5138.91</v>
      </c>
      <c r="F44" s="5">
        <v>2070500000</v>
      </c>
      <c r="G44" s="2" t="s">
        <v>144</v>
      </c>
    </row>
    <row r="45" spans="2:7" x14ac:dyDescent="0.2">
      <c r="B45" s="5" t="s">
        <v>77</v>
      </c>
      <c r="C45" s="5">
        <v>111111</v>
      </c>
      <c r="D45" s="5" t="s">
        <v>99</v>
      </c>
      <c r="E45" s="15">
        <v>1055381.4750000001</v>
      </c>
      <c r="F45" s="5">
        <v>2070600000</v>
      </c>
      <c r="G45" s="2" t="s">
        <v>145</v>
      </c>
    </row>
    <row r="46" spans="2:7" x14ac:dyDescent="0.2">
      <c r="B46" s="5" t="s">
        <v>78</v>
      </c>
      <c r="C46" s="5" t="s">
        <v>6</v>
      </c>
      <c r="D46" s="5" t="s">
        <v>43</v>
      </c>
      <c r="E46" s="15">
        <v>430845.34499999997</v>
      </c>
      <c r="F46" s="5">
        <v>2070900000</v>
      </c>
      <c r="G46" s="2" t="s">
        <v>147</v>
      </c>
    </row>
    <row r="47" spans="2:7" x14ac:dyDescent="0.2">
      <c r="B47" s="5" t="s">
        <v>78</v>
      </c>
      <c r="C47" s="5">
        <v>105</v>
      </c>
      <c r="D47" s="5" t="s">
        <v>33</v>
      </c>
      <c r="E47" s="15">
        <v>276920</v>
      </c>
      <c r="F47" s="5">
        <v>2070900000</v>
      </c>
      <c r="G47" s="2" t="s">
        <v>192</v>
      </c>
    </row>
    <row r="48" spans="2:7" x14ac:dyDescent="0.2">
      <c r="B48" s="5" t="s">
        <v>78</v>
      </c>
      <c r="C48" s="5">
        <v>111111</v>
      </c>
      <c r="D48" s="5" t="s">
        <v>99</v>
      </c>
      <c r="E48" s="15">
        <v>1130021</v>
      </c>
      <c r="F48" s="5">
        <v>2070900000</v>
      </c>
      <c r="G48" s="2" t="s">
        <v>148</v>
      </c>
    </row>
    <row r="49" spans="2:7" x14ac:dyDescent="0.2">
      <c r="B49" s="5" t="s">
        <v>7</v>
      </c>
      <c r="C49" s="5">
        <v>111111</v>
      </c>
      <c r="D49" s="5" t="s">
        <v>99</v>
      </c>
      <c r="E49" s="15">
        <v>7293.5450000000001</v>
      </c>
      <c r="F49" s="5">
        <v>2071000000</v>
      </c>
      <c r="G49" s="2" t="s">
        <v>149</v>
      </c>
    </row>
    <row r="50" spans="2:7" x14ac:dyDescent="0.2">
      <c r="B50" s="5" t="s">
        <v>79</v>
      </c>
      <c r="C50" s="5">
        <v>1900</v>
      </c>
      <c r="D50" s="5" t="s">
        <v>53</v>
      </c>
      <c r="E50" s="15">
        <v>0</v>
      </c>
      <c r="F50" s="5">
        <v>2071100000</v>
      </c>
      <c r="G50" s="2" t="s">
        <v>211</v>
      </c>
    </row>
    <row r="51" spans="2:7" x14ac:dyDescent="0.2">
      <c r="B51" s="5" t="s">
        <v>79</v>
      </c>
      <c r="C51" s="5">
        <v>111111</v>
      </c>
      <c r="D51" s="5" t="s">
        <v>99</v>
      </c>
      <c r="E51" s="15">
        <v>48468.665000000001</v>
      </c>
      <c r="F51" s="5">
        <v>2071100000</v>
      </c>
      <c r="G51" s="2" t="s">
        <v>150</v>
      </c>
    </row>
    <row r="52" spans="2:7" x14ac:dyDescent="0.2">
      <c r="B52" s="5" t="s">
        <v>8</v>
      </c>
      <c r="C52" s="5" t="s">
        <v>19</v>
      </c>
      <c r="D52" s="5" t="s">
        <v>55</v>
      </c>
      <c r="E52" s="15">
        <v>23928.799999999999</v>
      </c>
      <c r="F52" s="5">
        <v>2071209200</v>
      </c>
      <c r="G52" s="2" t="s">
        <v>212</v>
      </c>
    </row>
    <row r="53" spans="2:7" x14ac:dyDescent="0.2">
      <c r="B53" s="5" t="s">
        <v>8</v>
      </c>
      <c r="C53" s="5">
        <v>111111</v>
      </c>
      <c r="D53" s="5" t="s">
        <v>99</v>
      </c>
      <c r="E53" s="15">
        <v>2393259.19</v>
      </c>
      <c r="F53" s="5">
        <v>2071209200</v>
      </c>
      <c r="G53" s="2" t="s">
        <v>151</v>
      </c>
    </row>
    <row r="54" spans="2:7" x14ac:dyDescent="0.2">
      <c r="B54" s="5" t="s">
        <v>80</v>
      </c>
      <c r="C54" s="5">
        <v>111111</v>
      </c>
      <c r="D54" s="5" t="s">
        <v>99</v>
      </c>
      <c r="E54" s="15">
        <v>23069.654999999999</v>
      </c>
      <c r="F54" s="5">
        <v>2071209400</v>
      </c>
      <c r="G54" s="2" t="s">
        <v>152</v>
      </c>
    </row>
    <row r="55" spans="2:7" x14ac:dyDescent="0.2">
      <c r="B55" s="5" t="s">
        <v>81</v>
      </c>
      <c r="C55" s="5">
        <v>111111</v>
      </c>
      <c r="D55" s="5" t="s">
        <v>99</v>
      </c>
      <c r="E55" s="15">
        <v>208366.935</v>
      </c>
      <c r="F55" s="5">
        <v>2071209500</v>
      </c>
      <c r="G55" s="2" t="s">
        <v>153</v>
      </c>
    </row>
    <row r="56" spans="2:7" x14ac:dyDescent="0.2">
      <c r="B56" s="5" t="s">
        <v>20</v>
      </c>
      <c r="C56" s="5">
        <v>111111</v>
      </c>
      <c r="D56" s="5" t="s">
        <v>99</v>
      </c>
      <c r="E56" s="15">
        <v>308232</v>
      </c>
      <c r="F56" s="5">
        <v>2071220000</v>
      </c>
      <c r="G56" s="2" t="s">
        <v>213</v>
      </c>
    </row>
    <row r="57" spans="2:7" x14ac:dyDescent="0.2">
      <c r="B57" s="5" t="s">
        <v>21</v>
      </c>
      <c r="C57" s="5">
        <v>19</v>
      </c>
      <c r="D57" s="5" t="s">
        <v>41</v>
      </c>
      <c r="E57" s="15">
        <v>13422.779999999999</v>
      </c>
      <c r="F57" s="5">
        <v>2071511000</v>
      </c>
      <c r="G57" s="2" t="s">
        <v>214</v>
      </c>
    </row>
    <row r="58" spans="2:7" x14ac:dyDescent="0.2">
      <c r="B58" s="5" t="s">
        <v>21</v>
      </c>
      <c r="C58" s="5">
        <v>111111</v>
      </c>
      <c r="D58" s="5" t="s">
        <v>99</v>
      </c>
      <c r="E58" s="15">
        <v>4045.6150000000002</v>
      </c>
      <c r="F58" s="5">
        <v>2071511000</v>
      </c>
      <c r="G58" s="2" t="s">
        <v>215</v>
      </c>
    </row>
    <row r="59" spans="2:7" x14ac:dyDescent="0.2">
      <c r="B59" s="5" t="s">
        <v>22</v>
      </c>
      <c r="C59" s="5">
        <v>111111</v>
      </c>
      <c r="D59" s="5" t="s">
        <v>99</v>
      </c>
      <c r="E59" s="15">
        <v>49621.144999999997</v>
      </c>
      <c r="F59" s="5">
        <v>2071910000</v>
      </c>
      <c r="G59" s="2" t="s">
        <v>216</v>
      </c>
    </row>
    <row r="60" spans="2:7" x14ac:dyDescent="0.2">
      <c r="B60" s="5" t="s">
        <v>82</v>
      </c>
      <c r="C60" s="5">
        <v>111101</v>
      </c>
      <c r="D60" s="5" t="s">
        <v>0</v>
      </c>
      <c r="E60" s="15">
        <v>20323.309999999998</v>
      </c>
      <c r="F60" s="5">
        <v>2071980000</v>
      </c>
      <c r="G60" s="2" t="s">
        <v>154</v>
      </c>
    </row>
    <row r="61" spans="2:7" x14ac:dyDescent="0.2">
      <c r="B61" s="5" t="s">
        <v>83</v>
      </c>
      <c r="C61" s="5">
        <v>111111</v>
      </c>
      <c r="D61" s="5" t="s">
        <v>99</v>
      </c>
      <c r="E61" s="15">
        <v>169489</v>
      </c>
      <c r="F61" s="5">
        <v>2079022000</v>
      </c>
      <c r="G61" s="2" t="s">
        <v>155</v>
      </c>
    </row>
    <row r="62" spans="2:7" x14ac:dyDescent="0.2">
      <c r="B62" s="5" t="s">
        <v>84</v>
      </c>
      <c r="C62" s="5">
        <v>19</v>
      </c>
      <c r="D62" s="5" t="s">
        <v>41</v>
      </c>
      <c r="E62" s="15">
        <v>85462.684999999998</v>
      </c>
      <c r="F62" s="5">
        <v>2079070000</v>
      </c>
      <c r="G62" s="2" t="s">
        <v>217</v>
      </c>
    </row>
    <row r="63" spans="2:7" x14ac:dyDescent="0.2">
      <c r="B63" s="5" t="s">
        <v>84</v>
      </c>
      <c r="C63" s="5" t="s">
        <v>5</v>
      </c>
      <c r="D63" s="5" t="s">
        <v>42</v>
      </c>
      <c r="E63" s="15">
        <v>11422.144999999999</v>
      </c>
      <c r="F63" s="5">
        <v>2079070000</v>
      </c>
      <c r="G63" s="2" t="s">
        <v>218</v>
      </c>
    </row>
    <row r="64" spans="2:7" x14ac:dyDescent="0.2">
      <c r="B64" s="5" t="s">
        <v>84</v>
      </c>
      <c r="C64" s="5" t="s">
        <v>12</v>
      </c>
      <c r="D64" s="5" t="s">
        <v>36</v>
      </c>
      <c r="E64" s="15">
        <v>84438.864999999991</v>
      </c>
      <c r="F64" s="5">
        <v>2079070000</v>
      </c>
      <c r="G64" s="2" t="s">
        <v>195</v>
      </c>
    </row>
    <row r="65" spans="2:7" x14ac:dyDescent="0.2">
      <c r="B65" s="5" t="s">
        <v>84</v>
      </c>
      <c r="C65" s="5">
        <v>111111</v>
      </c>
      <c r="D65" s="5" t="s">
        <v>99</v>
      </c>
      <c r="E65" s="15">
        <v>638869.13</v>
      </c>
      <c r="F65" s="5">
        <v>2079070000</v>
      </c>
      <c r="G65" s="2" t="s">
        <v>157</v>
      </c>
    </row>
    <row r="66" spans="2:7" x14ac:dyDescent="0.2">
      <c r="B66" s="5" t="s">
        <v>85</v>
      </c>
      <c r="C66" s="5" t="s">
        <v>10</v>
      </c>
      <c r="D66" s="5" t="s">
        <v>47</v>
      </c>
      <c r="E66" s="15">
        <v>0</v>
      </c>
      <c r="F66" s="5">
        <v>2079080000</v>
      </c>
      <c r="G66" s="2" t="s">
        <v>196</v>
      </c>
    </row>
    <row r="67" spans="2:7" x14ac:dyDescent="0.2">
      <c r="B67" s="5" t="s">
        <v>85</v>
      </c>
      <c r="C67" s="5">
        <v>1007</v>
      </c>
      <c r="D67" s="5" t="s">
        <v>37</v>
      </c>
      <c r="E67" s="15">
        <v>0</v>
      </c>
      <c r="F67" s="5">
        <v>2079080000</v>
      </c>
      <c r="G67" s="2" t="s">
        <v>159</v>
      </c>
    </row>
    <row r="68" spans="2:7" x14ac:dyDescent="0.2">
      <c r="B68" s="5" t="s">
        <v>85</v>
      </c>
      <c r="C68" s="5">
        <v>1008</v>
      </c>
      <c r="D68" s="5" t="s">
        <v>39</v>
      </c>
      <c r="E68" s="15">
        <v>0</v>
      </c>
      <c r="F68" s="5">
        <v>2079080000</v>
      </c>
      <c r="G68" s="2" t="s">
        <v>160</v>
      </c>
    </row>
    <row r="69" spans="2:7" x14ac:dyDescent="0.2">
      <c r="B69" s="5" t="s">
        <v>86</v>
      </c>
      <c r="C69" s="5" t="s">
        <v>10</v>
      </c>
      <c r="D69" s="5" t="s">
        <v>47</v>
      </c>
      <c r="E69" s="15">
        <v>0</v>
      </c>
      <c r="F69" s="5">
        <v>2082280000</v>
      </c>
      <c r="G69" s="2" t="s">
        <v>197</v>
      </c>
    </row>
    <row r="70" spans="2:7" x14ac:dyDescent="0.2">
      <c r="B70" s="5" t="s">
        <v>86</v>
      </c>
      <c r="C70" s="5">
        <v>1009</v>
      </c>
      <c r="D70" s="5" t="s">
        <v>35</v>
      </c>
      <c r="E70" s="15">
        <v>0</v>
      </c>
      <c r="F70" s="5">
        <v>2082280000</v>
      </c>
      <c r="G70" s="2" t="s">
        <v>161</v>
      </c>
    </row>
    <row r="71" spans="2:7" x14ac:dyDescent="0.2">
      <c r="B71" s="5" t="s">
        <v>86</v>
      </c>
      <c r="C71" s="5">
        <v>1007</v>
      </c>
      <c r="D71" s="5" t="s">
        <v>37</v>
      </c>
      <c r="E71" s="15">
        <v>0</v>
      </c>
      <c r="F71" s="5">
        <v>2082280000</v>
      </c>
      <c r="G71" s="2" t="s">
        <v>162</v>
      </c>
    </row>
    <row r="72" spans="2:7" x14ac:dyDescent="0.2">
      <c r="B72" s="5" t="s">
        <v>86</v>
      </c>
      <c r="C72" s="5">
        <v>1008</v>
      </c>
      <c r="D72" s="5" t="s">
        <v>39</v>
      </c>
      <c r="E72" s="15">
        <v>0</v>
      </c>
      <c r="F72" s="5">
        <v>2082280000</v>
      </c>
      <c r="G72" s="2" t="s">
        <v>163</v>
      </c>
    </row>
    <row r="73" spans="2:7" x14ac:dyDescent="0.2">
      <c r="B73" s="5" t="s">
        <v>86</v>
      </c>
      <c r="C73" s="5">
        <v>1240</v>
      </c>
      <c r="D73" s="5" t="s">
        <v>44</v>
      </c>
      <c r="E73" s="15">
        <v>-34224.959999999999</v>
      </c>
      <c r="F73" s="5">
        <v>2082280000</v>
      </c>
      <c r="G73" s="2" t="s">
        <v>164</v>
      </c>
    </row>
    <row r="74" spans="2:7" x14ac:dyDescent="0.2">
      <c r="B74" s="5" t="s">
        <v>86</v>
      </c>
      <c r="C74" s="5">
        <v>1006</v>
      </c>
      <c r="D74" s="5" t="s">
        <v>54</v>
      </c>
      <c r="E74" s="15">
        <v>-6778.415</v>
      </c>
      <c r="F74" s="5">
        <v>2082280000</v>
      </c>
      <c r="G74" s="2" t="s">
        <v>198</v>
      </c>
    </row>
    <row r="75" spans="2:7" x14ac:dyDescent="0.2">
      <c r="B75" s="5" t="s">
        <v>86</v>
      </c>
      <c r="C75" s="5">
        <v>1007</v>
      </c>
      <c r="D75" s="5" t="s">
        <v>38</v>
      </c>
      <c r="E75" s="15">
        <v>0</v>
      </c>
      <c r="F75" s="5">
        <v>2082280000</v>
      </c>
      <c r="G75" s="2" t="s">
        <v>162</v>
      </c>
    </row>
    <row r="76" spans="2:7" x14ac:dyDescent="0.2">
      <c r="B76" s="5" t="s">
        <v>86</v>
      </c>
      <c r="C76" s="5">
        <v>111111</v>
      </c>
      <c r="D76" s="5" t="s">
        <v>99</v>
      </c>
      <c r="E76" s="15">
        <v>-2204.7199999999998</v>
      </c>
      <c r="F76" s="5">
        <v>2082280000</v>
      </c>
      <c r="G76" s="2" t="s">
        <v>165</v>
      </c>
    </row>
    <row r="77" spans="2:7" x14ac:dyDescent="0.2">
      <c r="B77" s="5" t="s">
        <v>87</v>
      </c>
      <c r="C77" s="5">
        <v>111101</v>
      </c>
      <c r="D77" s="5" t="s">
        <v>0</v>
      </c>
      <c r="E77" s="15">
        <v>80617.179999999993</v>
      </c>
      <c r="F77" s="5">
        <v>2082208200</v>
      </c>
      <c r="G77" s="2" t="s">
        <v>167</v>
      </c>
    </row>
    <row r="78" spans="2:7" x14ac:dyDescent="0.2">
      <c r="B78" s="5" t="s">
        <v>88</v>
      </c>
      <c r="C78" s="5">
        <v>88</v>
      </c>
      <c r="D78" s="5" t="s">
        <v>32</v>
      </c>
      <c r="E78" s="15">
        <v>2752704.22</v>
      </c>
      <c r="F78" s="5">
        <v>2082214000</v>
      </c>
      <c r="G78" s="2" t="s">
        <v>168</v>
      </c>
    </row>
    <row r="79" spans="2:7" x14ac:dyDescent="0.2">
      <c r="B79" s="5" t="s">
        <v>88</v>
      </c>
      <c r="C79" s="5">
        <v>1007</v>
      </c>
      <c r="D79" s="5" t="s">
        <v>38</v>
      </c>
      <c r="E79" s="15">
        <v>0</v>
      </c>
      <c r="F79" s="5">
        <v>2082214000</v>
      </c>
      <c r="G79" s="2" t="s">
        <v>199</v>
      </c>
    </row>
    <row r="80" spans="2:7" x14ac:dyDescent="0.2">
      <c r="B80" s="5" t="s">
        <v>88</v>
      </c>
      <c r="C80" s="5">
        <v>111111</v>
      </c>
      <c r="D80" s="5" t="s">
        <v>99</v>
      </c>
      <c r="E80" s="15">
        <v>1250.7950000000001</v>
      </c>
      <c r="F80" s="5">
        <v>2082214000</v>
      </c>
      <c r="G80" s="2" t="s">
        <v>200</v>
      </c>
    </row>
    <row r="81" spans="2:7" x14ac:dyDescent="0.2">
      <c r="B81" s="5" t="s">
        <v>102</v>
      </c>
      <c r="C81" s="5">
        <v>1240</v>
      </c>
      <c r="D81" s="5" t="s">
        <v>44</v>
      </c>
      <c r="E81" s="15">
        <v>4130000</v>
      </c>
      <c r="F81" s="5">
        <v>2082110000</v>
      </c>
      <c r="G81" s="2" t="s">
        <v>219</v>
      </c>
    </row>
    <row r="82" spans="2:7" x14ac:dyDescent="0.2">
      <c r="B82" s="5" t="s">
        <v>89</v>
      </c>
      <c r="C82" s="5">
        <v>111101</v>
      </c>
      <c r="D82" s="5" t="s">
        <v>0</v>
      </c>
      <c r="E82" s="15">
        <v>496748.70000000007</v>
      </c>
      <c r="F82" s="5">
        <v>2091200000</v>
      </c>
      <c r="G82" s="2" t="s">
        <v>169</v>
      </c>
    </row>
    <row r="83" spans="2:7" x14ac:dyDescent="0.2">
      <c r="B83" s="5" t="s">
        <v>90</v>
      </c>
      <c r="C83" s="5">
        <v>111101</v>
      </c>
      <c r="D83" s="5" t="s">
        <v>0</v>
      </c>
      <c r="E83" s="15">
        <v>480872.96000000002</v>
      </c>
      <c r="F83" s="5">
        <v>2091200001</v>
      </c>
      <c r="G83" s="2" t="s">
        <v>170</v>
      </c>
    </row>
    <row r="84" spans="2:7" x14ac:dyDescent="0.2">
      <c r="B84" s="5" t="s">
        <v>23</v>
      </c>
      <c r="C84" s="5">
        <v>111101</v>
      </c>
      <c r="D84" s="5" t="s">
        <v>0</v>
      </c>
      <c r="E84" s="15">
        <v>0</v>
      </c>
      <c r="F84" s="5">
        <v>2091900000</v>
      </c>
      <c r="G84" s="2" t="s">
        <v>220</v>
      </c>
    </row>
    <row r="85" spans="2:7" x14ac:dyDescent="0.2">
      <c r="B85" s="5" t="s">
        <v>91</v>
      </c>
      <c r="C85" s="5">
        <v>111101</v>
      </c>
      <c r="D85" s="5" t="s">
        <v>0</v>
      </c>
      <c r="E85" s="15">
        <v>6570.3050000000003</v>
      </c>
      <c r="F85" s="5">
        <v>2092200000</v>
      </c>
      <c r="G85" s="2" t="s">
        <v>171</v>
      </c>
    </row>
    <row r="86" spans="2:7" x14ac:dyDescent="0.2">
      <c r="B86" s="16" t="s">
        <v>64</v>
      </c>
      <c r="C86" s="16">
        <v>111101</v>
      </c>
      <c r="D86" s="16" t="s">
        <v>0</v>
      </c>
      <c r="E86" s="17">
        <v>6073808.1600000001</v>
      </c>
      <c r="F86" s="16">
        <v>2111111999</v>
      </c>
      <c r="G86" s="2" t="s">
        <v>203</v>
      </c>
    </row>
    <row r="87" spans="2:7" x14ac:dyDescent="0.2">
      <c r="C87" s="5"/>
    </row>
    <row r="88" spans="2:7" x14ac:dyDescent="0.2">
      <c r="C88" s="5"/>
    </row>
    <row r="89" spans="2:7" x14ac:dyDescent="0.2">
      <c r="C89" s="5"/>
    </row>
    <row r="90" spans="2:7" x14ac:dyDescent="0.2">
      <c r="C90" s="5"/>
    </row>
    <row r="91" spans="2:7" x14ac:dyDescent="0.2">
      <c r="C91" s="5"/>
    </row>
    <row r="92" spans="2:7" x14ac:dyDescent="0.2">
      <c r="C92" s="5"/>
    </row>
    <row r="93" spans="2:7" x14ac:dyDescent="0.2">
      <c r="C93" s="5"/>
    </row>
    <row r="94" spans="2:7" x14ac:dyDescent="0.2">
      <c r="C94" s="5"/>
    </row>
    <row r="95" spans="2:7" x14ac:dyDescent="0.2">
      <c r="C95" s="5"/>
    </row>
    <row r="96" spans="2:7" x14ac:dyDescent="0.2">
      <c r="C96" s="5"/>
    </row>
    <row r="97" spans="3:3" x14ac:dyDescent="0.2">
      <c r="C97" s="5"/>
    </row>
    <row r="98" spans="3:3" x14ac:dyDescent="0.2">
      <c r="C98" s="5"/>
    </row>
    <row r="99" spans="3:3" x14ac:dyDescent="0.2">
      <c r="C99" s="5"/>
    </row>
    <row r="100" spans="3:3" x14ac:dyDescent="0.2">
      <c r="C100" s="5"/>
    </row>
    <row r="101" spans="3:3" x14ac:dyDescent="0.2">
      <c r="C101" s="5"/>
    </row>
    <row r="102" spans="3:3" x14ac:dyDescent="0.2">
      <c r="C102" s="5"/>
    </row>
    <row r="103" spans="3:3" x14ac:dyDescent="0.2">
      <c r="C103" s="5"/>
    </row>
    <row r="104" spans="3:3" x14ac:dyDescent="0.2">
      <c r="C104" s="5"/>
    </row>
    <row r="105" spans="3:3" x14ac:dyDescent="0.2">
      <c r="C105" s="5"/>
    </row>
    <row r="106" spans="3:3" x14ac:dyDescent="0.2">
      <c r="C106" s="5"/>
    </row>
    <row r="107" spans="3:3" x14ac:dyDescent="0.2">
      <c r="C107" s="5"/>
    </row>
    <row r="108" spans="3:3" x14ac:dyDescent="0.2">
      <c r="C108" s="5"/>
    </row>
    <row r="109" spans="3:3" x14ac:dyDescent="0.2">
      <c r="C109" s="5"/>
    </row>
    <row r="110" spans="3:3" x14ac:dyDescent="0.2">
      <c r="C110" s="5"/>
    </row>
    <row r="111" spans="3:3" x14ac:dyDescent="0.2">
      <c r="C111" s="5"/>
    </row>
    <row r="112" spans="3:3" x14ac:dyDescent="0.2">
      <c r="C112" s="5"/>
    </row>
    <row r="113" spans="3:3" x14ac:dyDescent="0.2">
      <c r="C113" s="5"/>
    </row>
    <row r="114" spans="3:3" x14ac:dyDescent="0.2">
      <c r="C114" s="5"/>
    </row>
    <row r="115" spans="3:3" x14ac:dyDescent="0.2">
      <c r="C115" s="5"/>
    </row>
    <row r="116" spans="3:3" x14ac:dyDescent="0.2">
      <c r="C116" s="5"/>
    </row>
    <row r="117" spans="3:3" x14ac:dyDescent="0.2">
      <c r="C117" s="5"/>
    </row>
    <row r="118" spans="3:3" x14ac:dyDescent="0.2">
      <c r="C118" s="5"/>
    </row>
    <row r="119" spans="3:3" x14ac:dyDescent="0.2">
      <c r="C119" s="5"/>
    </row>
    <row r="120" spans="3:3" x14ac:dyDescent="0.2">
      <c r="C120" s="5"/>
    </row>
    <row r="121" spans="3:3" x14ac:dyDescent="0.2">
      <c r="C121" s="5"/>
    </row>
    <row r="122" spans="3:3" x14ac:dyDescent="0.2">
      <c r="C122" s="5"/>
    </row>
    <row r="123" spans="3:3" x14ac:dyDescent="0.2">
      <c r="C123" s="5"/>
    </row>
    <row r="124" spans="3:3" x14ac:dyDescent="0.2">
      <c r="C124" s="5"/>
    </row>
    <row r="125" spans="3:3" x14ac:dyDescent="0.2">
      <c r="C125" s="5"/>
    </row>
    <row r="126" spans="3:3" x14ac:dyDescent="0.2">
      <c r="C126" s="5"/>
    </row>
    <row r="127" spans="3:3" x14ac:dyDescent="0.2">
      <c r="C127" s="5"/>
    </row>
    <row r="128" spans="3:3" x14ac:dyDescent="0.2">
      <c r="C128" s="5"/>
    </row>
    <row r="129" spans="3:3" x14ac:dyDescent="0.2">
      <c r="C129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topLeftCell="A54" workbookViewId="0">
      <selection activeCell="G78" sqref="G78"/>
    </sheetView>
  </sheetViews>
  <sheetFormatPr defaultColWidth="9.109375" defaultRowHeight="11.4" x14ac:dyDescent="0.2"/>
  <cols>
    <col min="1" max="1" width="2" style="2" customWidth="1"/>
    <col min="2" max="2" width="34.77734375" style="2" bestFit="1" customWidth="1"/>
    <col min="3" max="3" width="18.5546875" style="2" customWidth="1"/>
    <col min="4" max="4" width="26.44140625" style="2" customWidth="1"/>
    <col min="5" max="5" width="15.44140625" style="2" customWidth="1"/>
    <col min="6" max="6" width="20.44140625" style="2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110</v>
      </c>
    </row>
    <row r="4" spans="2:7" x14ac:dyDescent="0.2">
      <c r="B4" s="5" t="s">
        <v>111</v>
      </c>
      <c r="C4" s="5" t="s">
        <v>31</v>
      </c>
      <c r="D4" s="5" t="s">
        <v>112</v>
      </c>
      <c r="E4" s="5" t="s">
        <v>113</v>
      </c>
      <c r="F4" s="5" t="s">
        <v>114</v>
      </c>
      <c r="G4" s="5" t="s">
        <v>115</v>
      </c>
    </row>
    <row r="5" spans="2:7" x14ac:dyDescent="0.2">
      <c r="B5" s="5" t="s">
        <v>65</v>
      </c>
      <c r="C5" s="5">
        <v>105</v>
      </c>
      <c r="D5" s="5" t="s">
        <v>33</v>
      </c>
      <c r="E5" s="15">
        <v>-616462.01899999997</v>
      </c>
      <c r="F5" s="5">
        <v>2001110000</v>
      </c>
      <c r="G5" s="2" t="s">
        <v>173</v>
      </c>
    </row>
    <row r="6" spans="2:7" x14ac:dyDescent="0.2">
      <c r="B6" s="5" t="s">
        <v>65</v>
      </c>
      <c r="C6" s="5">
        <v>111111</v>
      </c>
      <c r="D6" s="5" t="s">
        <v>99</v>
      </c>
      <c r="E6" s="15">
        <v>-14431341</v>
      </c>
      <c r="F6" s="5">
        <v>2001110000</v>
      </c>
      <c r="G6" s="2" t="s">
        <v>116</v>
      </c>
    </row>
    <row r="7" spans="2:7" x14ac:dyDescent="0.2">
      <c r="B7" s="5" t="s">
        <v>66</v>
      </c>
      <c r="C7" s="5">
        <v>111111</v>
      </c>
      <c r="D7" s="5" t="s">
        <v>99</v>
      </c>
      <c r="E7" s="15">
        <v>-6373617.5140000004</v>
      </c>
      <c r="F7" s="5">
        <v>2001190000</v>
      </c>
      <c r="G7" s="2" t="s">
        <v>117</v>
      </c>
    </row>
    <row r="8" spans="2:7" x14ac:dyDescent="0.2">
      <c r="B8" s="5" t="s">
        <v>103</v>
      </c>
      <c r="C8" s="5">
        <v>111111</v>
      </c>
      <c r="D8" s="5" t="s">
        <v>99</v>
      </c>
      <c r="E8" s="15">
        <v>20504.509999999998</v>
      </c>
      <c r="F8" s="5">
        <v>2021210000</v>
      </c>
      <c r="G8" s="2" t="s">
        <v>174</v>
      </c>
    </row>
    <row r="9" spans="2:7" x14ac:dyDescent="0.2">
      <c r="B9" s="5" t="s">
        <v>100</v>
      </c>
      <c r="C9" s="5">
        <v>111111</v>
      </c>
      <c r="D9" s="5" t="s">
        <v>99</v>
      </c>
      <c r="E9" s="15">
        <v>5674152.0669999998</v>
      </c>
      <c r="F9" s="5">
        <v>2021900000</v>
      </c>
      <c r="G9" s="2" t="s">
        <v>122</v>
      </c>
    </row>
    <row r="10" spans="2:7" x14ac:dyDescent="0.2">
      <c r="B10" s="5" t="s">
        <v>24</v>
      </c>
      <c r="C10" s="5">
        <v>111111</v>
      </c>
      <c r="D10" s="5" t="s">
        <v>99</v>
      </c>
      <c r="E10" s="15">
        <v>13691.949999999999</v>
      </c>
      <c r="F10" s="5">
        <v>2024020000</v>
      </c>
      <c r="G10" s="2" t="s">
        <v>175</v>
      </c>
    </row>
    <row r="11" spans="2:7" x14ac:dyDescent="0.2">
      <c r="B11" s="5" t="s">
        <v>69</v>
      </c>
      <c r="C11" s="5">
        <v>111111</v>
      </c>
      <c r="D11" s="5" t="s">
        <v>99</v>
      </c>
      <c r="E11" s="15">
        <v>350370.99399999995</v>
      </c>
      <c r="F11" s="5">
        <v>2024080000</v>
      </c>
      <c r="G11" s="2" t="s">
        <v>123</v>
      </c>
    </row>
    <row r="12" spans="2:7" x14ac:dyDescent="0.2">
      <c r="B12" s="5" t="s">
        <v>68</v>
      </c>
      <c r="C12" s="5">
        <v>88</v>
      </c>
      <c r="D12" s="5" t="s">
        <v>32</v>
      </c>
      <c r="E12" s="15">
        <v>3116017.1540000001</v>
      </c>
      <c r="F12" s="5">
        <v>2024090000</v>
      </c>
      <c r="G12" s="2" t="s">
        <v>124</v>
      </c>
    </row>
    <row r="13" spans="2:7" x14ac:dyDescent="0.2">
      <c r="B13" s="5" t="s">
        <v>68</v>
      </c>
      <c r="C13" s="5" t="s">
        <v>11</v>
      </c>
      <c r="D13" s="5" t="s">
        <v>34</v>
      </c>
      <c r="E13" s="15">
        <v>0</v>
      </c>
      <c r="F13" s="5">
        <v>2024090000</v>
      </c>
      <c r="G13" s="2" t="s">
        <v>176</v>
      </c>
    </row>
    <row r="14" spans="2:7" x14ac:dyDescent="0.2">
      <c r="B14" s="5" t="s">
        <v>68</v>
      </c>
      <c r="C14" s="5" t="s">
        <v>12</v>
      </c>
      <c r="D14" s="5" t="s">
        <v>36</v>
      </c>
      <c r="E14" s="15">
        <v>673.34299999999985</v>
      </c>
      <c r="F14" s="5">
        <v>2024090000</v>
      </c>
      <c r="G14" s="2" t="s">
        <v>177</v>
      </c>
    </row>
    <row r="15" spans="2:7" x14ac:dyDescent="0.2">
      <c r="B15" s="5" t="s">
        <v>68</v>
      </c>
      <c r="C15" s="5" t="s">
        <v>25</v>
      </c>
      <c r="D15" s="5" t="s">
        <v>48</v>
      </c>
      <c r="E15" s="15">
        <v>192017.14499999996</v>
      </c>
      <c r="F15" s="5">
        <v>2024090000</v>
      </c>
      <c r="G15" s="2" t="s">
        <v>178</v>
      </c>
    </row>
    <row r="16" spans="2:7" x14ac:dyDescent="0.2">
      <c r="B16" s="5" t="s">
        <v>68</v>
      </c>
      <c r="C16" s="5" t="s">
        <v>6</v>
      </c>
      <c r="D16" s="5" t="s">
        <v>43</v>
      </c>
      <c r="E16" s="15">
        <v>375290.46599999996</v>
      </c>
      <c r="F16" s="5">
        <v>2024090000</v>
      </c>
      <c r="G16" s="2" t="s">
        <v>179</v>
      </c>
    </row>
    <row r="17" spans="2:7" x14ac:dyDescent="0.2">
      <c r="B17" s="5" t="s">
        <v>68</v>
      </c>
      <c r="C17" s="5">
        <v>17000</v>
      </c>
      <c r="D17" s="5" t="s">
        <v>50</v>
      </c>
      <c r="E17" s="15">
        <v>4920</v>
      </c>
      <c r="F17" s="5">
        <v>2024090000</v>
      </c>
      <c r="G17" s="2" t="s">
        <v>180</v>
      </c>
    </row>
    <row r="18" spans="2:7" x14ac:dyDescent="0.2">
      <c r="B18" s="5" t="s">
        <v>68</v>
      </c>
      <c r="C18" s="5">
        <v>111111</v>
      </c>
      <c r="D18" s="5" t="s">
        <v>99</v>
      </c>
      <c r="E18" s="15">
        <v>9783.7069999999985</v>
      </c>
      <c r="F18" s="5">
        <v>2024090000</v>
      </c>
      <c r="G18" s="2" t="s">
        <v>125</v>
      </c>
    </row>
    <row r="19" spans="2:7" x14ac:dyDescent="0.2">
      <c r="B19" s="5" t="s">
        <v>1</v>
      </c>
      <c r="C19" s="5">
        <v>111111</v>
      </c>
      <c r="D19" s="5" t="s">
        <v>99</v>
      </c>
      <c r="E19" s="15">
        <v>3982699.5329999998</v>
      </c>
      <c r="F19" s="5">
        <v>2041000000</v>
      </c>
      <c r="G19" s="2" t="s">
        <v>126</v>
      </c>
    </row>
    <row r="20" spans="2:7" x14ac:dyDescent="0.2">
      <c r="B20" s="5" t="s">
        <v>2</v>
      </c>
      <c r="C20" s="5">
        <v>111101</v>
      </c>
      <c r="D20" s="5" t="s">
        <v>0</v>
      </c>
      <c r="E20" s="15">
        <v>1420796.8209999998</v>
      </c>
      <c r="F20" s="5">
        <v>2042000000</v>
      </c>
      <c r="G20" s="2" t="s">
        <v>127</v>
      </c>
    </row>
    <row r="21" spans="2:7" x14ac:dyDescent="0.2">
      <c r="B21" s="5" t="s">
        <v>70</v>
      </c>
      <c r="C21" s="5">
        <v>111101</v>
      </c>
      <c r="D21" s="5" t="s">
        <v>0</v>
      </c>
      <c r="E21" s="15">
        <v>288891.82199999999</v>
      </c>
      <c r="F21" s="5">
        <v>2042000000</v>
      </c>
      <c r="G21" s="2" t="s">
        <v>127</v>
      </c>
    </row>
    <row r="22" spans="2:7" x14ac:dyDescent="0.2">
      <c r="B22" s="5" t="s">
        <v>71</v>
      </c>
      <c r="C22" s="5">
        <v>111101</v>
      </c>
      <c r="D22" s="5" t="s">
        <v>0</v>
      </c>
      <c r="E22" s="15">
        <v>143500</v>
      </c>
      <c r="F22" s="5">
        <v>2045000000</v>
      </c>
      <c r="G22" s="2" t="s">
        <v>129</v>
      </c>
    </row>
    <row r="23" spans="2:7" x14ac:dyDescent="0.2">
      <c r="B23" s="5" t="s">
        <v>72</v>
      </c>
      <c r="C23" s="5">
        <v>111101</v>
      </c>
      <c r="D23" s="5" t="s">
        <v>0</v>
      </c>
      <c r="E23" s="15">
        <v>1875768.159</v>
      </c>
      <c r="F23" s="5">
        <v>2051210000</v>
      </c>
      <c r="G23" s="2" t="s">
        <v>130</v>
      </c>
    </row>
    <row r="24" spans="2:7" x14ac:dyDescent="0.2">
      <c r="B24" s="5" t="s">
        <v>72</v>
      </c>
      <c r="C24" s="5">
        <v>111101</v>
      </c>
      <c r="D24" s="5" t="s">
        <v>0</v>
      </c>
      <c r="E24" s="15">
        <v>12593.355</v>
      </c>
      <c r="F24" s="5">
        <v>2051260000</v>
      </c>
      <c r="G24" s="2" t="s">
        <v>181</v>
      </c>
    </row>
    <row r="25" spans="2:7" x14ac:dyDescent="0.2">
      <c r="B25" s="5" t="s">
        <v>21</v>
      </c>
      <c r="C25" s="5" t="s">
        <v>19</v>
      </c>
      <c r="D25" s="5" t="s">
        <v>55</v>
      </c>
      <c r="E25" s="15">
        <v>0</v>
      </c>
      <c r="F25" s="5">
        <v>2060441000</v>
      </c>
      <c r="G25" s="2" t="s">
        <v>182</v>
      </c>
    </row>
    <row r="26" spans="2:7" x14ac:dyDescent="0.2">
      <c r="B26" s="5" t="s">
        <v>21</v>
      </c>
      <c r="C26" s="5">
        <v>111111</v>
      </c>
      <c r="D26" s="5" t="s">
        <v>99</v>
      </c>
      <c r="E26" s="15">
        <v>-1252.8369999999998</v>
      </c>
      <c r="F26" s="5">
        <v>2060441000</v>
      </c>
      <c r="G26" s="2" t="s">
        <v>183</v>
      </c>
    </row>
    <row r="27" spans="2:7" x14ac:dyDescent="0.2">
      <c r="B27" s="5" t="s">
        <v>73</v>
      </c>
      <c r="C27" s="5" t="s">
        <v>3</v>
      </c>
      <c r="D27" s="5" t="s">
        <v>40</v>
      </c>
      <c r="E27" s="15">
        <v>-1418521.358</v>
      </c>
      <c r="F27" s="5">
        <v>2069010000</v>
      </c>
      <c r="G27" s="2" t="s">
        <v>132</v>
      </c>
    </row>
    <row r="28" spans="2:7" x14ac:dyDescent="0.2">
      <c r="B28" s="5" t="s">
        <v>73</v>
      </c>
      <c r="C28" s="5">
        <v>19</v>
      </c>
      <c r="D28" s="5" t="s">
        <v>41</v>
      </c>
      <c r="E28" s="15">
        <v>-622966.38600000006</v>
      </c>
      <c r="F28" s="5">
        <v>2069010000</v>
      </c>
      <c r="G28" s="2" t="s">
        <v>184</v>
      </c>
    </row>
    <row r="29" spans="2:7" x14ac:dyDescent="0.2">
      <c r="B29" s="5" t="s">
        <v>73</v>
      </c>
      <c r="C29" s="5" t="s">
        <v>16</v>
      </c>
      <c r="D29" s="5" t="s">
        <v>51</v>
      </c>
      <c r="E29" s="15">
        <v>0</v>
      </c>
      <c r="F29" s="5">
        <v>2069010000</v>
      </c>
      <c r="G29" s="2" t="s">
        <v>185</v>
      </c>
    </row>
    <row r="30" spans="2:7" x14ac:dyDescent="0.2">
      <c r="B30" s="5" t="s">
        <v>73</v>
      </c>
      <c r="C30" s="5" t="s">
        <v>10</v>
      </c>
      <c r="D30" s="5" t="s">
        <v>47</v>
      </c>
      <c r="E30" s="15">
        <v>0</v>
      </c>
      <c r="F30" s="5">
        <v>2069010000</v>
      </c>
      <c r="G30" s="2" t="s">
        <v>186</v>
      </c>
    </row>
    <row r="31" spans="2:7" x14ac:dyDescent="0.2">
      <c r="B31" s="5" t="s">
        <v>73</v>
      </c>
      <c r="C31" s="5">
        <v>1009</v>
      </c>
      <c r="D31" s="5" t="s">
        <v>35</v>
      </c>
      <c r="E31" s="15">
        <v>0</v>
      </c>
      <c r="F31" s="5">
        <v>2069010000</v>
      </c>
      <c r="G31" s="2" t="s">
        <v>136</v>
      </c>
    </row>
    <row r="32" spans="2:7" x14ac:dyDescent="0.2">
      <c r="B32" s="5" t="s">
        <v>73</v>
      </c>
      <c r="C32" s="5">
        <v>1007</v>
      </c>
      <c r="D32" s="5" t="s">
        <v>37</v>
      </c>
      <c r="E32" s="15">
        <v>0</v>
      </c>
      <c r="F32" s="5">
        <v>2069010000</v>
      </c>
      <c r="G32" s="2" t="s">
        <v>137</v>
      </c>
    </row>
    <row r="33" spans="2:7" x14ac:dyDescent="0.2">
      <c r="B33" s="5" t="s">
        <v>73</v>
      </c>
      <c r="C33" s="5">
        <v>1008</v>
      </c>
      <c r="D33" s="5" t="s">
        <v>39</v>
      </c>
      <c r="E33" s="15">
        <v>0</v>
      </c>
      <c r="F33" s="5">
        <v>2069010000</v>
      </c>
      <c r="G33" s="2" t="s">
        <v>138</v>
      </c>
    </row>
    <row r="34" spans="2:7" x14ac:dyDescent="0.2">
      <c r="B34" s="5" t="s">
        <v>73</v>
      </c>
      <c r="C34" s="5">
        <v>1240</v>
      </c>
      <c r="D34" s="5" t="s">
        <v>44</v>
      </c>
      <c r="E34" s="15">
        <v>0</v>
      </c>
      <c r="F34" s="5">
        <v>2069010000</v>
      </c>
      <c r="G34" s="2" t="s">
        <v>139</v>
      </c>
    </row>
    <row r="35" spans="2:7" x14ac:dyDescent="0.2">
      <c r="B35" s="5" t="s">
        <v>73</v>
      </c>
      <c r="C35" s="5">
        <v>1006</v>
      </c>
      <c r="D35" s="5" t="s">
        <v>54</v>
      </c>
      <c r="E35" s="15">
        <v>0</v>
      </c>
      <c r="F35" s="5">
        <v>2069010000</v>
      </c>
      <c r="G35" s="2" t="s">
        <v>187</v>
      </c>
    </row>
    <row r="36" spans="2:7" x14ac:dyDescent="0.2">
      <c r="B36" s="5" t="s">
        <v>73</v>
      </c>
      <c r="C36" s="5">
        <v>1007</v>
      </c>
      <c r="D36" s="5" t="s">
        <v>38</v>
      </c>
      <c r="E36" s="15">
        <v>0</v>
      </c>
      <c r="F36" s="5">
        <v>2069010000</v>
      </c>
      <c r="G36" s="2" t="s">
        <v>137</v>
      </c>
    </row>
    <row r="37" spans="2:7" x14ac:dyDescent="0.2">
      <c r="B37" s="5" t="s">
        <v>73</v>
      </c>
      <c r="C37" s="5" t="s">
        <v>17</v>
      </c>
      <c r="D37" s="5" t="s">
        <v>52</v>
      </c>
      <c r="E37" s="15">
        <v>-1948832.1429999999</v>
      </c>
      <c r="F37" s="5">
        <v>2069010000</v>
      </c>
      <c r="G37" s="2" t="s">
        <v>188</v>
      </c>
    </row>
    <row r="38" spans="2:7" x14ac:dyDescent="0.2">
      <c r="B38" s="5" t="s">
        <v>73</v>
      </c>
      <c r="C38" s="5">
        <v>111111</v>
      </c>
      <c r="D38" s="5" t="s">
        <v>99</v>
      </c>
      <c r="E38" s="15">
        <v>-902857.84299999999</v>
      </c>
      <c r="F38" s="5">
        <v>2069010000</v>
      </c>
      <c r="G38" s="2" t="s">
        <v>140</v>
      </c>
    </row>
    <row r="39" spans="2:7" x14ac:dyDescent="0.2">
      <c r="B39" s="5" t="s">
        <v>26</v>
      </c>
      <c r="C39" s="5">
        <v>111111</v>
      </c>
      <c r="D39" s="5" t="s">
        <v>99</v>
      </c>
      <c r="E39" s="15">
        <v>-61499.999999999993</v>
      </c>
      <c r="F39" s="5">
        <v>2069020000</v>
      </c>
      <c r="G39" s="2" t="s">
        <v>189</v>
      </c>
    </row>
    <row r="40" spans="2:7" x14ac:dyDescent="0.2">
      <c r="B40" s="5" t="s">
        <v>74</v>
      </c>
      <c r="C40" s="5">
        <v>105</v>
      </c>
      <c r="D40" s="5" t="s">
        <v>33</v>
      </c>
      <c r="E40" s="15">
        <v>-30913.425999999996</v>
      </c>
      <c r="F40" s="5">
        <v>2069980000</v>
      </c>
      <c r="G40" s="2" t="s">
        <v>190</v>
      </c>
    </row>
    <row r="41" spans="2:7" x14ac:dyDescent="0.2">
      <c r="B41" s="5" t="s">
        <v>74</v>
      </c>
      <c r="C41" s="5">
        <v>111111</v>
      </c>
      <c r="D41" s="5" t="s">
        <v>99</v>
      </c>
      <c r="E41" s="15">
        <v>-15872.001999999999</v>
      </c>
      <c r="F41" s="5">
        <v>2069980000</v>
      </c>
      <c r="G41" s="2" t="s">
        <v>141</v>
      </c>
    </row>
    <row r="42" spans="2:7" x14ac:dyDescent="0.2">
      <c r="B42" s="5" t="s">
        <v>75</v>
      </c>
      <c r="C42" s="5">
        <v>111111</v>
      </c>
      <c r="D42" s="5" t="s">
        <v>99</v>
      </c>
      <c r="E42" s="15">
        <v>57.317999999999998</v>
      </c>
      <c r="F42" s="5">
        <v>2070400000</v>
      </c>
      <c r="G42" s="2" t="s">
        <v>142</v>
      </c>
    </row>
    <row r="43" spans="2:7" x14ac:dyDescent="0.2">
      <c r="B43" s="5" t="s">
        <v>76</v>
      </c>
      <c r="C43" s="5">
        <v>111111</v>
      </c>
      <c r="D43" s="5" t="s">
        <v>99</v>
      </c>
      <c r="E43" s="15">
        <v>19198.66</v>
      </c>
      <c r="F43" s="5">
        <v>2070500000</v>
      </c>
      <c r="G43" s="2" t="s">
        <v>144</v>
      </c>
    </row>
    <row r="44" spans="2:7" x14ac:dyDescent="0.2">
      <c r="B44" s="5" t="s">
        <v>77</v>
      </c>
      <c r="C44" s="5">
        <v>105</v>
      </c>
      <c r="D44" s="5" t="s">
        <v>33</v>
      </c>
      <c r="E44" s="15">
        <v>-1423120</v>
      </c>
      <c r="F44" s="5">
        <v>2070600000</v>
      </c>
      <c r="G44" s="2" t="s">
        <v>191</v>
      </c>
    </row>
    <row r="45" spans="2:7" x14ac:dyDescent="0.2">
      <c r="B45" s="5" t="s">
        <v>77</v>
      </c>
      <c r="C45" s="5">
        <v>111111</v>
      </c>
      <c r="D45" s="5" t="s">
        <v>99</v>
      </c>
      <c r="E45" s="15">
        <v>-172933.44899999999</v>
      </c>
      <c r="F45" s="5">
        <v>2070600000</v>
      </c>
      <c r="G45" s="2" t="s">
        <v>145</v>
      </c>
    </row>
    <row r="46" spans="2:7" x14ac:dyDescent="0.2">
      <c r="B46" s="5" t="s">
        <v>78</v>
      </c>
      <c r="C46" s="5">
        <v>105</v>
      </c>
      <c r="D46" s="5" t="s">
        <v>33</v>
      </c>
      <c r="E46" s="15">
        <v>473575.46100000001</v>
      </c>
      <c r="F46" s="5">
        <v>2070900000</v>
      </c>
      <c r="G46" s="2" t="s">
        <v>192</v>
      </c>
    </row>
    <row r="47" spans="2:7" x14ac:dyDescent="0.2">
      <c r="B47" s="5" t="s">
        <v>78</v>
      </c>
      <c r="C47" s="5">
        <v>111111</v>
      </c>
      <c r="D47" s="5" t="s">
        <v>99</v>
      </c>
      <c r="E47" s="15">
        <v>1481408.47</v>
      </c>
      <c r="F47" s="5">
        <v>2070900000</v>
      </c>
      <c r="G47" s="2" t="s">
        <v>148</v>
      </c>
    </row>
    <row r="48" spans="2:7" x14ac:dyDescent="0.2">
      <c r="B48" s="5" t="s">
        <v>7</v>
      </c>
      <c r="C48" s="5">
        <v>111111</v>
      </c>
      <c r="D48" s="5" t="s">
        <v>99</v>
      </c>
      <c r="E48" s="15">
        <v>40048.799999999996</v>
      </c>
      <c r="F48" s="5">
        <v>2071000000</v>
      </c>
      <c r="G48" s="2" t="s">
        <v>149</v>
      </c>
    </row>
    <row r="49" spans="2:7" x14ac:dyDescent="0.2">
      <c r="B49" s="5" t="s">
        <v>79</v>
      </c>
      <c r="C49" s="5">
        <v>88</v>
      </c>
      <c r="D49" s="5" t="s">
        <v>32</v>
      </c>
      <c r="E49" s="15">
        <v>584.66</v>
      </c>
      <c r="F49" s="5">
        <v>2071100000</v>
      </c>
      <c r="G49" s="2" t="s">
        <v>193</v>
      </c>
    </row>
    <row r="50" spans="2:7" x14ac:dyDescent="0.2">
      <c r="B50" s="5" t="s">
        <v>79</v>
      </c>
      <c r="C50" s="5">
        <v>111111</v>
      </c>
      <c r="D50" s="5" t="s">
        <v>99</v>
      </c>
      <c r="E50" s="15">
        <v>64039.82699999999</v>
      </c>
      <c r="F50" s="5">
        <v>2071100000</v>
      </c>
      <c r="G50" s="2" t="s">
        <v>150</v>
      </c>
    </row>
    <row r="51" spans="2:7" x14ac:dyDescent="0.2">
      <c r="B51" s="5" t="s">
        <v>27</v>
      </c>
      <c r="C51" s="5">
        <v>111111</v>
      </c>
      <c r="D51" s="5" t="s">
        <v>99</v>
      </c>
      <c r="E51" s="15">
        <v>1352.9999999999998</v>
      </c>
      <c r="F51" s="5">
        <v>2071209100</v>
      </c>
      <c r="G51" s="2" t="s">
        <v>194</v>
      </c>
    </row>
    <row r="52" spans="2:7" x14ac:dyDescent="0.2">
      <c r="B52" s="5" t="s">
        <v>8</v>
      </c>
      <c r="C52" s="5">
        <v>111111</v>
      </c>
      <c r="D52" s="5" t="s">
        <v>99</v>
      </c>
      <c r="E52" s="15">
        <v>2514431.8869999996</v>
      </c>
      <c r="F52" s="5">
        <v>2071209200</v>
      </c>
      <c r="G52" s="2" t="s">
        <v>151</v>
      </c>
    </row>
    <row r="53" spans="2:7" x14ac:dyDescent="0.2">
      <c r="B53" s="5" t="s">
        <v>80</v>
      </c>
      <c r="C53" s="5">
        <v>111111</v>
      </c>
      <c r="D53" s="5" t="s">
        <v>99</v>
      </c>
      <c r="E53" s="15">
        <v>4194.2999999999993</v>
      </c>
      <c r="F53" s="5">
        <v>2071209400</v>
      </c>
      <c r="G53" s="2" t="s">
        <v>152</v>
      </c>
    </row>
    <row r="54" spans="2:7" x14ac:dyDescent="0.2">
      <c r="B54" s="5" t="s">
        <v>81</v>
      </c>
      <c r="C54" s="5">
        <v>111111</v>
      </c>
      <c r="D54" s="5" t="s">
        <v>99</v>
      </c>
      <c r="E54" s="15">
        <v>106525.708</v>
      </c>
      <c r="F54" s="5">
        <v>2071209500</v>
      </c>
      <c r="G54" s="2" t="s">
        <v>153</v>
      </c>
    </row>
    <row r="55" spans="2:7" x14ac:dyDescent="0.2">
      <c r="B55" s="5" t="s">
        <v>82</v>
      </c>
      <c r="C55" s="5">
        <v>111101</v>
      </c>
      <c r="D55" s="5" t="s">
        <v>0</v>
      </c>
      <c r="E55" s="15">
        <v>109811.284</v>
      </c>
      <c r="F55" s="5">
        <v>2071980000</v>
      </c>
      <c r="G55" s="2" t="s">
        <v>154</v>
      </c>
    </row>
    <row r="56" spans="2:7" x14ac:dyDescent="0.2">
      <c r="B56" s="5" t="s">
        <v>83</v>
      </c>
      <c r="C56" s="5">
        <v>111111</v>
      </c>
      <c r="D56" s="5" t="s">
        <v>99</v>
      </c>
      <c r="E56" s="15">
        <v>61111.483999999997</v>
      </c>
      <c r="F56" s="5">
        <v>2079022000</v>
      </c>
      <c r="G56" s="2" t="s">
        <v>155</v>
      </c>
    </row>
    <row r="57" spans="2:7" x14ac:dyDescent="0.2">
      <c r="B57" s="5" t="s">
        <v>84</v>
      </c>
      <c r="C57" s="5" t="s">
        <v>12</v>
      </c>
      <c r="D57" s="5" t="s">
        <v>36</v>
      </c>
      <c r="E57" s="15">
        <v>0</v>
      </c>
      <c r="F57" s="5">
        <v>2079070000</v>
      </c>
      <c r="G57" s="2" t="s">
        <v>195</v>
      </c>
    </row>
    <row r="58" spans="2:7" x14ac:dyDescent="0.2">
      <c r="B58" s="5" t="s">
        <v>84</v>
      </c>
      <c r="C58" s="5">
        <v>105</v>
      </c>
      <c r="D58" s="5" t="s">
        <v>33</v>
      </c>
      <c r="E58" s="15">
        <v>1684415.2999999998</v>
      </c>
      <c r="F58" s="5">
        <v>2079070000</v>
      </c>
      <c r="G58" s="2" t="s">
        <v>156</v>
      </c>
    </row>
    <row r="59" spans="2:7" x14ac:dyDescent="0.2">
      <c r="B59" s="5" t="s">
        <v>84</v>
      </c>
      <c r="C59" s="5">
        <v>111111</v>
      </c>
      <c r="D59" s="5" t="s">
        <v>99</v>
      </c>
      <c r="E59" s="15">
        <v>575626.2649999999</v>
      </c>
      <c r="F59" s="5">
        <v>2079070000</v>
      </c>
      <c r="G59" s="2" t="s">
        <v>157</v>
      </c>
    </row>
    <row r="60" spans="2:7" x14ac:dyDescent="0.2">
      <c r="B60" s="5" t="s">
        <v>85</v>
      </c>
      <c r="C60" s="5" t="s">
        <v>10</v>
      </c>
      <c r="D60" s="5" t="s">
        <v>47</v>
      </c>
      <c r="E60" s="15">
        <v>0</v>
      </c>
      <c r="F60" s="5">
        <v>2079080000</v>
      </c>
      <c r="G60" s="2" t="s">
        <v>196</v>
      </c>
    </row>
    <row r="61" spans="2:7" x14ac:dyDescent="0.2">
      <c r="B61" s="5" t="s">
        <v>85</v>
      </c>
      <c r="C61" s="5">
        <v>1007</v>
      </c>
      <c r="D61" s="5" t="s">
        <v>38</v>
      </c>
      <c r="E61" s="15">
        <v>0</v>
      </c>
      <c r="F61" s="5">
        <v>2079080000</v>
      </c>
      <c r="G61" s="2" t="s">
        <v>159</v>
      </c>
    </row>
    <row r="62" spans="2:7" x14ac:dyDescent="0.2">
      <c r="B62" s="5" t="s">
        <v>86</v>
      </c>
      <c r="C62" s="5" t="s">
        <v>10</v>
      </c>
      <c r="D62" s="5" t="s">
        <v>47</v>
      </c>
      <c r="E62" s="15">
        <v>0</v>
      </c>
      <c r="F62" s="5">
        <v>2082280000</v>
      </c>
      <c r="G62" s="2" t="s">
        <v>197</v>
      </c>
    </row>
    <row r="63" spans="2:7" x14ac:dyDescent="0.2">
      <c r="B63" s="5" t="s">
        <v>86</v>
      </c>
      <c r="C63" s="5">
        <v>1009</v>
      </c>
      <c r="D63" s="5" t="s">
        <v>35</v>
      </c>
      <c r="E63" s="15">
        <v>0</v>
      </c>
      <c r="F63" s="5">
        <v>2082280000</v>
      </c>
      <c r="G63" s="2" t="s">
        <v>161</v>
      </c>
    </row>
    <row r="64" spans="2:7" x14ac:dyDescent="0.2">
      <c r="B64" s="5" t="s">
        <v>86</v>
      </c>
      <c r="C64" s="5">
        <v>1007</v>
      </c>
      <c r="D64" s="5" t="s">
        <v>37</v>
      </c>
      <c r="E64" s="15">
        <v>0</v>
      </c>
      <c r="F64" s="5">
        <v>2082280000</v>
      </c>
      <c r="G64" s="2" t="s">
        <v>162</v>
      </c>
    </row>
    <row r="65" spans="2:7" x14ac:dyDescent="0.2">
      <c r="B65" s="5" t="s">
        <v>86</v>
      </c>
      <c r="C65" s="5">
        <v>1008</v>
      </c>
      <c r="D65" s="5" t="s">
        <v>39</v>
      </c>
      <c r="E65" s="15">
        <v>0</v>
      </c>
      <c r="F65" s="5">
        <v>2082280000</v>
      </c>
      <c r="G65" s="2" t="s">
        <v>163</v>
      </c>
    </row>
    <row r="66" spans="2:7" x14ac:dyDescent="0.2">
      <c r="B66" s="5" t="s">
        <v>86</v>
      </c>
      <c r="C66" s="5">
        <v>1240</v>
      </c>
      <c r="D66" s="5" t="s">
        <v>44</v>
      </c>
      <c r="E66" s="15">
        <v>0</v>
      </c>
      <c r="F66" s="5">
        <v>2082280000</v>
      </c>
      <c r="G66" s="2" t="s">
        <v>164</v>
      </c>
    </row>
    <row r="67" spans="2:7" x14ac:dyDescent="0.2">
      <c r="B67" s="5" t="s">
        <v>86</v>
      </c>
      <c r="C67" s="5">
        <v>1006</v>
      </c>
      <c r="D67" s="5" t="s">
        <v>54</v>
      </c>
      <c r="E67" s="15">
        <v>0</v>
      </c>
      <c r="F67" s="5">
        <v>2082280000</v>
      </c>
      <c r="G67" s="2" t="s">
        <v>198</v>
      </c>
    </row>
    <row r="68" spans="2:7" x14ac:dyDescent="0.2">
      <c r="B68" s="5" t="s">
        <v>86</v>
      </c>
      <c r="C68" s="5">
        <v>111111</v>
      </c>
      <c r="D68" s="5" t="s">
        <v>99</v>
      </c>
      <c r="E68" s="15">
        <v>-73809.511999999988</v>
      </c>
      <c r="F68" s="5">
        <v>2082280000</v>
      </c>
      <c r="G68" s="2" t="s">
        <v>165</v>
      </c>
    </row>
    <row r="69" spans="2:7" x14ac:dyDescent="0.2">
      <c r="B69" s="5" t="s">
        <v>87</v>
      </c>
      <c r="C69" s="5">
        <v>111101</v>
      </c>
      <c r="D69" s="5" t="s">
        <v>0</v>
      </c>
      <c r="E69" s="15">
        <v>7173.195999999999</v>
      </c>
      <c r="F69" s="5">
        <v>2082208200</v>
      </c>
      <c r="G69" s="2" t="s">
        <v>167</v>
      </c>
    </row>
    <row r="70" spans="2:7" x14ac:dyDescent="0.2">
      <c r="B70" s="5" t="s">
        <v>88</v>
      </c>
      <c r="C70" s="5">
        <v>88</v>
      </c>
      <c r="D70" s="5" t="s">
        <v>32</v>
      </c>
      <c r="E70" s="15">
        <v>2324465.8859999999</v>
      </c>
      <c r="F70" s="5">
        <v>2082214000</v>
      </c>
      <c r="G70" s="2" t="s">
        <v>168</v>
      </c>
    </row>
    <row r="71" spans="2:7" x14ac:dyDescent="0.2">
      <c r="B71" s="5" t="s">
        <v>88</v>
      </c>
      <c r="C71" s="5">
        <v>1007</v>
      </c>
      <c r="D71" s="5" t="s">
        <v>38</v>
      </c>
      <c r="E71" s="15">
        <v>0</v>
      </c>
      <c r="F71" s="5">
        <v>2082214000</v>
      </c>
      <c r="G71" s="2" t="s">
        <v>199</v>
      </c>
    </row>
    <row r="72" spans="2:7" x14ac:dyDescent="0.2">
      <c r="B72" s="5" t="s">
        <v>88</v>
      </c>
      <c r="C72" s="5">
        <v>111111</v>
      </c>
      <c r="D72" s="5" t="s">
        <v>99</v>
      </c>
      <c r="E72" s="15">
        <v>51.454999999999998</v>
      </c>
      <c r="F72" s="5">
        <v>2082214000</v>
      </c>
      <c r="G72" s="2" t="s">
        <v>200</v>
      </c>
    </row>
    <row r="73" spans="2:7" x14ac:dyDescent="0.2">
      <c r="B73" s="5" t="s">
        <v>102</v>
      </c>
      <c r="C73" s="5">
        <v>111101</v>
      </c>
      <c r="D73" s="5" t="s">
        <v>0</v>
      </c>
      <c r="E73" s="15">
        <v>0</v>
      </c>
      <c r="F73" s="5">
        <v>2082110000</v>
      </c>
      <c r="G73" s="2" t="s">
        <v>201</v>
      </c>
    </row>
    <row r="74" spans="2:7" x14ac:dyDescent="0.2">
      <c r="B74" s="5" t="s">
        <v>89</v>
      </c>
      <c r="C74" s="5">
        <v>111101</v>
      </c>
      <c r="D74" s="5" t="s">
        <v>0</v>
      </c>
      <c r="E74" s="15">
        <v>2558.1950000000002</v>
      </c>
      <c r="F74" s="5">
        <v>2091200000</v>
      </c>
      <c r="G74" s="2" t="s">
        <v>169</v>
      </c>
    </row>
    <row r="75" spans="2:7" x14ac:dyDescent="0.2">
      <c r="B75" s="5" t="s">
        <v>90</v>
      </c>
      <c r="C75" s="5">
        <v>111101</v>
      </c>
      <c r="D75" s="5" t="s">
        <v>0</v>
      </c>
      <c r="E75" s="15">
        <v>522710.353</v>
      </c>
      <c r="F75" s="5">
        <v>2091200001</v>
      </c>
      <c r="G75" s="2" t="s">
        <v>170</v>
      </c>
    </row>
    <row r="76" spans="2:7" x14ac:dyDescent="0.2">
      <c r="B76" s="5" t="s">
        <v>91</v>
      </c>
      <c r="C76" s="5">
        <v>111101</v>
      </c>
      <c r="D76" s="5" t="s">
        <v>0</v>
      </c>
      <c r="E76" s="15">
        <v>-160303.52199999997</v>
      </c>
      <c r="F76" s="5">
        <v>2092200000</v>
      </c>
      <c r="G76" s="2" t="s">
        <v>171</v>
      </c>
    </row>
    <row r="77" spans="2:7" x14ac:dyDescent="0.2">
      <c r="B77" s="5" t="s">
        <v>28</v>
      </c>
      <c r="C77" s="5">
        <v>111101</v>
      </c>
      <c r="D77" s="5" t="s">
        <v>0</v>
      </c>
      <c r="E77" s="15">
        <v>0</v>
      </c>
      <c r="F77" s="5">
        <v>2111111997</v>
      </c>
      <c r="G77" s="2" t="s">
        <v>202</v>
      </c>
    </row>
    <row r="78" spans="2:7" x14ac:dyDescent="0.2">
      <c r="B78" s="16" t="s">
        <v>64</v>
      </c>
      <c r="C78" s="16">
        <v>111101</v>
      </c>
      <c r="D78" s="16" t="s">
        <v>0</v>
      </c>
      <c r="E78" s="17">
        <v>-779290.47600000002</v>
      </c>
      <c r="F78" s="16">
        <v>2111111999</v>
      </c>
      <c r="G78" s="2" t="s">
        <v>203</v>
      </c>
    </row>
    <row r="79" spans="2:7" x14ac:dyDescent="0.2">
      <c r="C79" s="5"/>
    </row>
    <row r="80" spans="2:7" x14ac:dyDescent="0.2">
      <c r="C80" s="5"/>
    </row>
    <row r="81" spans="3:3" x14ac:dyDescent="0.2">
      <c r="C81" s="5"/>
    </row>
    <row r="82" spans="3:3" x14ac:dyDescent="0.2">
      <c r="C82" s="5"/>
    </row>
    <row r="83" spans="3:3" x14ac:dyDescent="0.2">
      <c r="C83" s="5"/>
    </row>
    <row r="84" spans="3:3" x14ac:dyDescent="0.2">
      <c r="C84" s="5"/>
    </row>
    <row r="85" spans="3:3" x14ac:dyDescent="0.2">
      <c r="C85" s="5"/>
    </row>
    <row r="86" spans="3:3" x14ac:dyDescent="0.2">
      <c r="C86" s="5"/>
    </row>
    <row r="87" spans="3:3" x14ac:dyDescent="0.2">
      <c r="C87" s="5"/>
    </row>
    <row r="88" spans="3:3" x14ac:dyDescent="0.2">
      <c r="C88" s="5"/>
    </row>
    <row r="89" spans="3:3" x14ac:dyDescent="0.2">
      <c r="C89" s="5"/>
    </row>
    <row r="90" spans="3:3" x14ac:dyDescent="0.2">
      <c r="C90" s="5"/>
    </row>
    <row r="91" spans="3:3" x14ac:dyDescent="0.2">
      <c r="C91" s="5"/>
    </row>
    <row r="92" spans="3:3" x14ac:dyDescent="0.2">
      <c r="C92" s="5"/>
    </row>
    <row r="93" spans="3:3" x14ac:dyDescent="0.2">
      <c r="C93" s="5"/>
    </row>
    <row r="94" spans="3:3" x14ac:dyDescent="0.2">
      <c r="C94" s="5"/>
    </row>
    <row r="95" spans="3:3" x14ac:dyDescent="0.2">
      <c r="C95" s="5"/>
    </row>
    <row r="96" spans="3:3" x14ac:dyDescent="0.2">
      <c r="C96" s="5"/>
    </row>
    <row r="97" spans="3:3" x14ac:dyDescent="0.2">
      <c r="C97" s="5"/>
    </row>
    <row r="98" spans="3:3" x14ac:dyDescent="0.2">
      <c r="C98" s="5"/>
    </row>
    <row r="99" spans="3:3" x14ac:dyDescent="0.2">
      <c r="C99" s="5"/>
    </row>
    <row r="100" spans="3:3" x14ac:dyDescent="0.2">
      <c r="C100" s="5"/>
    </row>
    <row r="101" spans="3:3" x14ac:dyDescent="0.2">
      <c r="C101" s="5"/>
    </row>
    <row r="102" spans="3:3" x14ac:dyDescent="0.2">
      <c r="C102" s="5"/>
    </row>
    <row r="103" spans="3:3" x14ac:dyDescent="0.2">
      <c r="C103" s="5"/>
    </row>
    <row r="104" spans="3:3" x14ac:dyDescent="0.2">
      <c r="C104" s="5"/>
    </row>
    <row r="105" spans="3:3" x14ac:dyDescent="0.2">
      <c r="C105" s="5"/>
    </row>
    <row r="106" spans="3:3" x14ac:dyDescent="0.2">
      <c r="C106" s="5"/>
    </row>
    <row r="107" spans="3:3" x14ac:dyDescent="0.2">
      <c r="C107" s="5"/>
    </row>
    <row r="108" spans="3:3" x14ac:dyDescent="0.2">
      <c r="C108" s="5"/>
    </row>
    <row r="109" spans="3:3" x14ac:dyDescent="0.2">
      <c r="C109" s="5"/>
    </row>
    <row r="110" spans="3:3" x14ac:dyDescent="0.2">
      <c r="C110" s="5"/>
    </row>
    <row r="111" spans="3:3" x14ac:dyDescent="0.2">
      <c r="C111" s="5"/>
    </row>
    <row r="112" spans="3:3" x14ac:dyDescent="0.2">
      <c r="C112" s="5"/>
    </row>
    <row r="113" spans="3:3" x14ac:dyDescent="0.2">
      <c r="C113" s="5"/>
    </row>
    <row r="114" spans="3:3" x14ac:dyDescent="0.2">
      <c r="C114" s="5"/>
    </row>
    <row r="115" spans="3:3" x14ac:dyDescent="0.2">
      <c r="C115" s="5"/>
    </row>
    <row r="116" spans="3:3" x14ac:dyDescent="0.2">
      <c r="C116" s="5"/>
    </row>
    <row r="117" spans="3:3" x14ac:dyDescent="0.2">
      <c r="C117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5"/>
  <sheetViews>
    <sheetView topLeftCell="B1" workbookViewId="0">
      <selection activeCell="H103" sqref="H103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34.77734375" style="2" bestFit="1" customWidth="1"/>
    <col min="4" max="4" width="19.33203125" style="2" customWidth="1"/>
    <col min="5" max="5" width="28.6640625" style="2" bestFit="1" customWidth="1"/>
    <col min="6" max="6" width="19" style="2" customWidth="1"/>
    <col min="7" max="7" width="13.77734375" style="2" customWidth="1"/>
    <col min="8" max="8" width="11.33203125" style="2" customWidth="1"/>
    <col min="9" max="9" width="2" style="2" customWidth="1"/>
    <col min="10" max="11" width="19.6640625" style="2" bestFit="1" customWidth="1"/>
    <col min="12" max="16384" width="9.109375" style="2"/>
  </cols>
  <sheetData>
    <row r="1" spans="2:11" ht="15.6" x14ac:dyDescent="0.3">
      <c r="B1" s="3" t="s">
        <v>56</v>
      </c>
    </row>
    <row r="3" spans="2:11" ht="16.2" thickBot="1" x14ac:dyDescent="0.35">
      <c r="B3" s="23" t="s">
        <v>115</v>
      </c>
      <c r="C3" s="23" t="s">
        <v>111</v>
      </c>
      <c r="D3" s="23" t="s">
        <v>31</v>
      </c>
      <c r="E3" s="23" t="s">
        <v>112</v>
      </c>
      <c r="F3" s="23" t="s">
        <v>221</v>
      </c>
      <c r="G3" s="23" t="s">
        <v>109</v>
      </c>
      <c r="H3" s="23" t="s">
        <v>222</v>
      </c>
      <c r="J3" s="23" t="s">
        <v>224</v>
      </c>
    </row>
    <row r="4" spans="2:11" ht="12" thickTop="1" x14ac:dyDescent="0.2">
      <c r="B4" s="5" t="s">
        <v>116</v>
      </c>
      <c r="C4" s="5" t="str">
        <f>_xlfn.XLOOKUP($B4,'1.1 FY2016'!$G$5:$G$61,'1.1 FY2016'!B$5:B$61)</f>
        <v>Core business revenues</v>
      </c>
      <c r="D4" s="5">
        <f>_xlfn.XLOOKUP($B4,'1.1 FY2016'!$G$5:$G$61,'1.1 FY2016'!C$5:C$61)</f>
        <v>111111</v>
      </c>
      <c r="E4" s="5" t="str">
        <f>_xlfn.XLOOKUP($B4,'1.1 FY2016'!$G$5:$G$61,'1.1 FY2016'!D$5:D$61)</f>
        <v>External</v>
      </c>
      <c r="F4" s="24">
        <f>-SUMIF('1.1 FY2016'!$G:$G,'2.1 Database'!B4,'1.1 FY2016'!$E:$E)</f>
        <v>14500341</v>
      </c>
      <c r="G4" s="25">
        <f>-SUMIF('1.2 FY2017'!$G:$G,'2.1 Database'!B4,'1.2 FY2017'!$E:$E)</f>
        <v>15792898.75</v>
      </c>
      <c r="H4" s="25">
        <f>-SUMIF('1.3 FY2018'!$G:$G,'2.1 Database'!B4,'1.3 FY2018'!$E:$E)</f>
        <v>14431341</v>
      </c>
      <c r="J4" s="2" t="s">
        <v>225</v>
      </c>
      <c r="K4" s="2">
        <f>COUNTIF('2.2 P&amp;L statement'!$B$4:$B$24,'2.1 Database'!J4)</f>
        <v>1</v>
      </c>
    </row>
    <row r="5" spans="2:11" x14ac:dyDescent="0.2">
      <c r="B5" s="5" t="s">
        <v>117</v>
      </c>
      <c r="C5" s="5" t="str">
        <f>_xlfn.XLOOKUP($B5,'1.1 FY2016'!$G$5:$G$61,'1.1 FY2016'!B$5:B$61)</f>
        <v>Other revenues</v>
      </c>
      <c r="D5" s="5">
        <f>_xlfn.XLOOKUP($B5,'1.1 FY2016'!$G$5:$G$61,'1.1 FY2016'!C$5:C$61)</f>
        <v>111111</v>
      </c>
      <c r="E5" s="5" t="str">
        <f>_xlfn.XLOOKUP($B5,'1.1 FY2016'!$G$5:$G$61,'1.1 FY2016'!D$5:D$61)</f>
        <v>External</v>
      </c>
      <c r="F5" s="24">
        <f>-SUMIF('1.1 FY2016'!$G:$G,'2.1 Database'!B5,'1.1 FY2016'!$E:$E)</f>
        <v>4794856.1919999998</v>
      </c>
      <c r="G5" s="25">
        <f>-SUMIF('1.2 FY2017'!$G:$G,'2.1 Database'!B5,'1.2 FY2017'!$E:$E)</f>
        <v>6960217.6449999996</v>
      </c>
      <c r="H5" s="25">
        <f>-SUMIF('1.3 FY2018'!$G:$G,'2.1 Database'!B5,'1.3 FY2018'!$E:$E)</f>
        <v>6373617.5140000004</v>
      </c>
      <c r="J5" s="2" t="s">
        <v>66</v>
      </c>
      <c r="K5" s="2">
        <f>COUNTIF('2.2 P&amp;L statement'!$B$4:$B$24,'2.1 Database'!J5)</f>
        <v>1</v>
      </c>
    </row>
    <row r="6" spans="2:11" x14ac:dyDescent="0.2">
      <c r="B6" s="5" t="s">
        <v>118</v>
      </c>
      <c r="C6" s="5" t="str">
        <f>_xlfn.XLOOKUP($B6,'1.1 FY2016'!$G$5:$G$61,'1.1 FY2016'!B$5:B$61)</f>
        <v>Capitalized costs</v>
      </c>
      <c r="D6" s="5">
        <f>_xlfn.XLOOKUP($B6,'1.1 FY2016'!$G$5:$G$61,'1.1 FY2016'!C$5:C$61)</f>
        <v>1009</v>
      </c>
      <c r="E6" s="5" t="str">
        <f>_xlfn.XLOOKUP($B6,'1.1 FY2016'!$G$5:$G$61,'1.1 FY2016'!D$5:D$61)</f>
        <v>Green Ventures Ltd</v>
      </c>
      <c r="F6" s="24">
        <f>-SUMIF('1.1 FY2016'!$G:$G,'2.1 Database'!B6,'1.1 FY2016'!$E:$E)</f>
        <v>154890.4</v>
      </c>
      <c r="G6" s="25">
        <f>-SUMIF('1.2 FY2017'!$G:$G,'2.1 Database'!B6,'1.2 FY2017'!$E:$E)</f>
        <v>0</v>
      </c>
      <c r="H6" s="25">
        <f>-SUMIF('1.3 FY2018'!$G:$G,'2.1 Database'!B6,'1.3 FY2018'!$E:$E)</f>
        <v>0</v>
      </c>
      <c r="J6" s="2" t="s">
        <v>67</v>
      </c>
      <c r="K6" s="2">
        <f>COUNTIF('2.2 P&amp;L statement'!$B$4:$B$24,'2.1 Database'!J6)</f>
        <v>1</v>
      </c>
    </row>
    <row r="7" spans="2:11" x14ac:dyDescent="0.2">
      <c r="B7" s="5" t="s">
        <v>119</v>
      </c>
      <c r="C7" s="5" t="str">
        <f>_xlfn.XLOOKUP($B7,'1.1 FY2016'!$G$5:$G$61,'1.1 FY2016'!B$5:B$61)</f>
        <v>Capitalized costs</v>
      </c>
      <c r="D7" s="5">
        <f>_xlfn.XLOOKUP($B7,'1.1 FY2016'!$G$5:$G$61,'1.1 FY2016'!C$5:C$61)</f>
        <v>1007</v>
      </c>
      <c r="E7" s="5" t="str">
        <f>_xlfn.XLOOKUP($B7,'1.1 FY2016'!$G$5:$G$61,'1.1 FY2016'!D$5:D$61)</f>
        <v>Generco Sunshine JSC</v>
      </c>
      <c r="F7" s="24">
        <f>-SUMIF('1.1 FY2016'!$G:$G,'2.1 Database'!B7,'1.1 FY2016'!$E:$E)</f>
        <v>1180894.0520000001</v>
      </c>
      <c r="G7" s="25">
        <f>-SUMIF('1.2 FY2017'!$G:$G,'2.1 Database'!B7,'1.2 FY2017'!$E:$E)</f>
        <v>89234.880000000005</v>
      </c>
      <c r="H7" s="25">
        <f>-SUMIF('1.3 FY2018'!$G:$G,'2.1 Database'!B7,'1.3 FY2018'!$E:$E)</f>
        <v>0</v>
      </c>
      <c r="J7" s="2" t="s">
        <v>67</v>
      </c>
      <c r="K7" s="2">
        <f>COUNTIF('2.2 P&amp;L statement'!$B$4:$B$24,'2.1 Database'!J7)</f>
        <v>1</v>
      </c>
    </row>
    <row r="8" spans="2:11" x14ac:dyDescent="0.2">
      <c r="B8" s="5" t="s">
        <v>120</v>
      </c>
      <c r="C8" s="5" t="str">
        <f>_xlfn.XLOOKUP($B8,'1.1 FY2016'!$G$5:$G$61,'1.1 FY2016'!B$5:B$61)</f>
        <v>Capitalized costs</v>
      </c>
      <c r="D8" s="5">
        <f>_xlfn.XLOOKUP($B8,'1.1 FY2016'!$G$5:$G$61,'1.1 FY2016'!C$5:C$61)</f>
        <v>1008</v>
      </c>
      <c r="E8" s="5" t="str">
        <f>_xlfn.XLOOKUP($B8,'1.1 FY2016'!$G$5:$G$61,'1.1 FY2016'!D$5:D$61)</f>
        <v>Greenco Ltd</v>
      </c>
      <c r="F8" s="24">
        <f>-SUMIF('1.1 FY2016'!$G:$G,'2.1 Database'!B8,'1.1 FY2016'!$E:$E)</f>
        <v>793079.51199999999</v>
      </c>
      <c r="G8" s="25">
        <f>-SUMIF('1.2 FY2017'!$G:$G,'2.1 Database'!B8,'1.2 FY2017'!$E:$E)</f>
        <v>26173</v>
      </c>
      <c r="H8" s="25">
        <f>-SUMIF('1.3 FY2018'!$G:$G,'2.1 Database'!B8,'1.3 FY2018'!$E:$E)</f>
        <v>0</v>
      </c>
      <c r="J8" s="2" t="s">
        <v>67</v>
      </c>
      <c r="K8" s="2">
        <f>COUNTIF('2.2 P&amp;L statement'!$B$4:$B$24,'2.1 Database'!J8)</f>
        <v>1</v>
      </c>
    </row>
    <row r="9" spans="2:11" x14ac:dyDescent="0.2">
      <c r="B9" s="5" t="s">
        <v>121</v>
      </c>
      <c r="C9" s="5" t="str">
        <f>_xlfn.XLOOKUP($B9,'1.1 FY2016'!$G$5:$G$61,'1.1 FY2016'!B$5:B$61)</f>
        <v>Capitalized costs</v>
      </c>
      <c r="D9" s="5">
        <f>_xlfn.XLOOKUP($B9,'1.1 FY2016'!$G$5:$G$61,'1.1 FY2016'!C$5:C$61)</f>
        <v>111101</v>
      </c>
      <c r="E9" s="5" t="str">
        <f>_xlfn.XLOOKUP($B9,'1.1 FY2016'!$G$5:$G$61,'1.1 FY2016'!D$5:D$61)</f>
        <v>Not assigned</v>
      </c>
      <c r="F9" s="24">
        <f>-SUMIF('1.1 FY2016'!$G:$G,'2.1 Database'!B9,'1.1 FY2016'!$E:$E)</f>
        <v>2277197.6</v>
      </c>
      <c r="G9" s="25">
        <f>-SUMIF('1.2 FY2017'!$G:$G,'2.1 Database'!B9,'1.2 FY2017'!$E:$E)</f>
        <v>209401.92</v>
      </c>
      <c r="H9" s="25">
        <f>-SUMIF('1.3 FY2018'!$G:$G,'2.1 Database'!B9,'1.3 FY2018'!$E:$E)</f>
        <v>0</v>
      </c>
      <c r="J9" s="2" t="s">
        <v>67</v>
      </c>
      <c r="K9" s="2">
        <f>COUNTIF('2.2 P&amp;L statement'!$B$4:$B$24,'2.1 Database'!J9)</f>
        <v>1</v>
      </c>
    </row>
    <row r="10" spans="2:11" x14ac:dyDescent="0.2">
      <c r="B10" s="5" t="s">
        <v>122</v>
      </c>
      <c r="C10" s="5" t="str">
        <f>_xlfn.XLOOKUP($B10,'1.1 FY2016'!$G$5:$G$61,'1.1 FY2016'!B$5:B$61)</f>
        <v>Direct costs</v>
      </c>
      <c r="D10" s="5">
        <f>_xlfn.XLOOKUP($B10,'1.1 FY2016'!$G$5:$G$61,'1.1 FY2016'!C$5:C$61)</f>
        <v>111111</v>
      </c>
      <c r="E10" s="5" t="str">
        <f>_xlfn.XLOOKUP($B10,'1.1 FY2016'!$G$5:$G$61,'1.1 FY2016'!D$5:D$61)</f>
        <v>External</v>
      </c>
      <c r="F10" s="24">
        <f>-SUMIF('1.1 FY2016'!$G:$G,'2.1 Database'!B10,'1.1 FY2016'!$E:$E)</f>
        <v>-4428911.7640000004</v>
      </c>
      <c r="G10" s="25">
        <f>-SUMIF('1.2 FY2017'!$G:$G,'2.1 Database'!B10,'1.2 FY2017'!$E:$E)</f>
        <v>-5463188.8250000002</v>
      </c>
      <c r="H10" s="25">
        <f>-SUMIF('1.3 FY2018'!$G:$G,'2.1 Database'!B10,'1.3 FY2018'!$E:$E)</f>
        <v>-5674152.0669999998</v>
      </c>
      <c r="J10" s="2" t="s">
        <v>100</v>
      </c>
      <c r="K10" s="2">
        <f>COUNTIF('2.2 P&amp;L statement'!$B$4:$B$24,'2.1 Database'!J10)</f>
        <v>1</v>
      </c>
    </row>
    <row r="11" spans="2:11" x14ac:dyDescent="0.2">
      <c r="B11" s="5" t="s">
        <v>123</v>
      </c>
      <c r="C11" s="5" t="str">
        <f>_xlfn.XLOOKUP($B11,'1.1 FY2016'!$G$5:$G$61,'1.1 FY2016'!B$5:B$61)</f>
        <v>Freight outbound expenses</v>
      </c>
      <c r="D11" s="5">
        <f>_xlfn.XLOOKUP($B11,'1.1 FY2016'!$G$5:$G$61,'1.1 FY2016'!C$5:C$61)</f>
        <v>111111</v>
      </c>
      <c r="E11" s="5" t="str">
        <f>_xlfn.XLOOKUP($B11,'1.1 FY2016'!$G$5:$G$61,'1.1 FY2016'!D$5:D$61)</f>
        <v>External</v>
      </c>
      <c r="F11" s="24">
        <f>-SUMIF('1.1 FY2016'!$G:$G,'2.1 Database'!B11,'1.1 FY2016'!$E:$E)</f>
        <v>-16977.628000000001</v>
      </c>
      <c r="G11" s="25">
        <f>-SUMIF('1.2 FY2017'!$G:$G,'2.1 Database'!B11,'1.2 FY2017'!$E:$E)</f>
        <v>-343675</v>
      </c>
      <c r="H11" s="25">
        <f>-SUMIF('1.3 FY2018'!$G:$G,'2.1 Database'!B11,'1.3 FY2018'!$E:$E)</f>
        <v>-350370.99399999995</v>
      </c>
      <c r="J11" s="2" t="s">
        <v>226</v>
      </c>
      <c r="K11" s="2">
        <f>COUNTIF('2.2 P&amp;L statement'!$B$4:$B$24,'2.1 Database'!J11)</f>
        <v>1</v>
      </c>
    </row>
    <row r="12" spans="2:11" x14ac:dyDescent="0.2">
      <c r="B12" s="5" t="s">
        <v>124</v>
      </c>
      <c r="C12" s="5" t="str">
        <f>_xlfn.XLOOKUP($B12,'1.1 FY2016'!$G$5:$G$61,'1.1 FY2016'!B$5:B$61)</f>
        <v>R&amp;D expenses</v>
      </c>
      <c r="D12" s="5">
        <f>_xlfn.XLOOKUP($B12,'1.1 FY2016'!$G$5:$G$61,'1.1 FY2016'!C$5:C$61)</f>
        <v>88</v>
      </c>
      <c r="E12" s="5" t="str">
        <f>_xlfn.XLOOKUP($B12,'1.1 FY2016'!$G$5:$G$61,'1.1 FY2016'!D$5:D$61)</f>
        <v>Generco Ltd</v>
      </c>
      <c r="F12" s="24">
        <f>-SUMIF('1.1 FY2016'!$G:$G,'2.1 Database'!B12,'1.1 FY2016'!$E:$E)</f>
        <v>-2245437.54</v>
      </c>
      <c r="G12" s="25">
        <f>-SUMIF('1.2 FY2017'!$G:$G,'2.1 Database'!B12,'1.2 FY2017'!$E:$E)</f>
        <v>-1980162.23</v>
      </c>
      <c r="H12" s="25">
        <f>-SUMIF('1.3 FY2018'!$G:$G,'2.1 Database'!B12,'1.3 FY2018'!$E:$E)</f>
        <v>-3116017.1540000001</v>
      </c>
      <c r="J12" s="2" t="s">
        <v>226</v>
      </c>
      <c r="K12" s="2">
        <f>COUNTIF('2.2 P&amp;L statement'!$B$4:$B$24,'2.1 Database'!J12)</f>
        <v>1</v>
      </c>
    </row>
    <row r="13" spans="2:11" x14ac:dyDescent="0.2">
      <c r="B13" s="5" t="s">
        <v>125</v>
      </c>
      <c r="C13" s="5" t="str">
        <f>_xlfn.XLOOKUP($B13,'1.1 FY2016'!$G$5:$G$61,'1.1 FY2016'!B$5:B$61)</f>
        <v>R&amp;D expenses</v>
      </c>
      <c r="D13" s="5">
        <f>_xlfn.XLOOKUP($B13,'1.1 FY2016'!$G$5:$G$61,'1.1 FY2016'!C$5:C$61)</f>
        <v>111111</v>
      </c>
      <c r="E13" s="5" t="str">
        <f>_xlfn.XLOOKUP($B13,'1.1 FY2016'!$G$5:$G$61,'1.1 FY2016'!D$5:D$61)</f>
        <v>External</v>
      </c>
      <c r="F13" s="24">
        <f>-SUMIF('1.1 FY2016'!$G:$G,'2.1 Database'!B13,'1.1 FY2016'!$E:$E)</f>
        <v>-16605.634000000002</v>
      </c>
      <c r="G13" s="25">
        <f>-SUMIF('1.2 FY2017'!$G:$G,'2.1 Database'!B13,'1.2 FY2017'!$E:$E)</f>
        <v>-27148.625</v>
      </c>
      <c r="H13" s="25">
        <f>-SUMIF('1.3 FY2018'!$G:$G,'2.1 Database'!B13,'1.3 FY2018'!$E:$E)</f>
        <v>-9783.7069999999985</v>
      </c>
      <c r="J13" s="2" t="s">
        <v>226</v>
      </c>
      <c r="K13" s="2">
        <f>COUNTIF('2.2 P&amp;L statement'!$B$4:$B$24,'2.1 Database'!J13)</f>
        <v>1</v>
      </c>
    </row>
    <row r="14" spans="2:11" x14ac:dyDescent="0.2">
      <c r="B14" s="5" t="s">
        <v>126</v>
      </c>
      <c r="C14" s="5" t="str">
        <f>_xlfn.XLOOKUP($B14,'1.1 FY2016'!$G$5:$G$61,'1.1 FY2016'!B$5:B$61)</f>
        <v>Wages and salaries</v>
      </c>
      <c r="D14" s="5">
        <f>_xlfn.XLOOKUP($B14,'1.1 FY2016'!$G$5:$G$61,'1.1 FY2016'!C$5:C$61)</f>
        <v>111111</v>
      </c>
      <c r="E14" s="5" t="str">
        <f>_xlfn.XLOOKUP($B14,'1.1 FY2016'!$G$5:$G$61,'1.1 FY2016'!D$5:D$61)</f>
        <v>External</v>
      </c>
      <c r="F14" s="24">
        <f>-SUMIF('1.1 FY2016'!$G:$G,'2.1 Database'!B14,'1.1 FY2016'!$E:$E)</f>
        <v>-4683394.0460000001</v>
      </c>
      <c r="G14" s="25">
        <f>-SUMIF('1.2 FY2017'!$G:$G,'2.1 Database'!B14,'1.2 FY2017'!$E:$E)</f>
        <v>-5507141.0549999997</v>
      </c>
      <c r="H14" s="25">
        <f>-SUMIF('1.3 FY2018'!$G:$G,'2.1 Database'!B14,'1.3 FY2018'!$E:$E)</f>
        <v>-3982699.5329999998</v>
      </c>
      <c r="J14" s="2" t="s">
        <v>227</v>
      </c>
      <c r="K14" s="2">
        <f>COUNTIF('2.2 P&amp;L statement'!$B$4:$B$24,'2.1 Database'!J14)</f>
        <v>1</v>
      </c>
    </row>
    <row r="15" spans="2:11" x14ac:dyDescent="0.2">
      <c r="B15" s="5" t="s">
        <v>127</v>
      </c>
      <c r="C15" s="5" t="str">
        <f>_xlfn.XLOOKUP($B15,'1.1 FY2016'!$G$5:$G$61,'1.1 FY2016'!B$5:B$61)</f>
        <v>Pension contributions</v>
      </c>
      <c r="D15" s="5">
        <f>_xlfn.XLOOKUP($B15,'1.1 FY2016'!$G$5:$G$61,'1.1 FY2016'!C$5:C$61)</f>
        <v>111101</v>
      </c>
      <c r="E15" s="5" t="str">
        <f>_xlfn.XLOOKUP($B15,'1.1 FY2016'!$G$5:$G$61,'1.1 FY2016'!D$5:D$61)</f>
        <v>Not assigned</v>
      </c>
      <c r="F15" s="24">
        <f>-SUMIF('1.1 FY2016'!$G:$G,'2.1 Database'!B15,'1.1 FY2016'!$E:$E)</f>
        <v>-1143051.5760000001</v>
      </c>
      <c r="G15" s="25">
        <f>-SUMIF('1.2 FY2017'!$G:$G,'2.1 Database'!B15,'1.2 FY2017'!$E:$E)</f>
        <v>-2057298.04</v>
      </c>
      <c r="H15" s="25">
        <f>-SUMIF('1.3 FY2018'!$G:$G,'2.1 Database'!B15,'1.3 FY2018'!$E:$E)</f>
        <v>-1709688.6429999997</v>
      </c>
      <c r="J15" s="2" t="s">
        <v>227</v>
      </c>
      <c r="K15" s="2">
        <f>COUNTIF('2.2 P&amp;L statement'!$B$4:$B$24,'2.1 Database'!J15)</f>
        <v>1</v>
      </c>
    </row>
    <row r="16" spans="2:11" x14ac:dyDescent="0.2">
      <c r="B16" s="5" t="s">
        <v>128</v>
      </c>
      <c r="C16" s="5" t="str">
        <f>_xlfn.XLOOKUP($B16,'1.1 FY2016'!$G$5:$G$61,'1.1 FY2016'!B$5:B$61)</f>
        <v>Pension contributions</v>
      </c>
      <c r="D16" s="5">
        <f>_xlfn.XLOOKUP($B16,'1.1 FY2016'!$G$5:$G$61,'1.1 FY2016'!C$5:C$61)</f>
        <v>88</v>
      </c>
      <c r="E16" s="5" t="str">
        <f>_xlfn.XLOOKUP($B16,'1.1 FY2016'!$G$5:$G$61,'1.1 FY2016'!D$5:D$61)</f>
        <v>Generco Ltd</v>
      </c>
      <c r="F16" s="24">
        <f>-SUMIF('1.1 FY2016'!$G:$G,'2.1 Database'!B16,'1.1 FY2016'!$E:$E)</f>
        <v>-239379.61800000002</v>
      </c>
      <c r="G16" s="25">
        <f>-SUMIF('1.2 FY2017'!$G:$G,'2.1 Database'!B16,'1.2 FY2017'!$E:$E)</f>
        <v>0</v>
      </c>
      <c r="H16" s="25">
        <f>-SUMIF('1.3 FY2018'!$G:$G,'2.1 Database'!B16,'1.3 FY2018'!$E:$E)</f>
        <v>0</v>
      </c>
      <c r="J16" s="2" t="s">
        <v>227</v>
      </c>
      <c r="K16" s="2">
        <f>COUNTIF('2.2 P&amp;L statement'!$B$4:$B$24,'2.1 Database'!J16)</f>
        <v>1</v>
      </c>
    </row>
    <row r="17" spans="2:11" x14ac:dyDescent="0.2">
      <c r="B17" s="5" t="s">
        <v>129</v>
      </c>
      <c r="C17" s="5" t="str">
        <f>_xlfn.XLOOKUP($B17,'1.1 FY2016'!$G$5:$G$61,'1.1 FY2016'!B$5:B$61)</f>
        <v>Severance indemnity contribution</v>
      </c>
      <c r="D17" s="5">
        <f>_xlfn.XLOOKUP($B17,'1.1 FY2016'!$G$5:$G$61,'1.1 FY2016'!C$5:C$61)</f>
        <v>111101</v>
      </c>
      <c r="E17" s="5" t="str">
        <f>_xlfn.XLOOKUP($B17,'1.1 FY2016'!$G$5:$G$61,'1.1 FY2016'!D$5:D$61)</f>
        <v>Not assigned</v>
      </c>
      <c r="F17" s="24">
        <f>-SUMIF('1.1 FY2016'!$G:$G,'2.1 Database'!B17,'1.1 FY2016'!$E:$E)</f>
        <v>-104913.8</v>
      </c>
      <c r="G17" s="25">
        <f>-SUMIF('1.2 FY2017'!$G:$G,'2.1 Database'!B17,'1.2 FY2017'!$E:$E)</f>
        <v>-500500</v>
      </c>
      <c r="H17" s="25">
        <f>-SUMIF('1.3 FY2018'!$G:$G,'2.1 Database'!B17,'1.3 FY2018'!$E:$E)</f>
        <v>-143500</v>
      </c>
      <c r="J17" s="2" t="s">
        <v>227</v>
      </c>
      <c r="K17" s="2">
        <f>COUNTIF('2.2 P&amp;L statement'!$B$4:$B$24,'2.1 Database'!J17)</f>
        <v>1</v>
      </c>
    </row>
    <row r="18" spans="2:11" x14ac:dyDescent="0.2">
      <c r="B18" s="5" t="s">
        <v>130</v>
      </c>
      <c r="C18" s="5" t="str">
        <f>_xlfn.XLOOKUP($B18,'1.1 FY2016'!$G$5:$G$61,'1.1 FY2016'!B$5:B$61)</f>
        <v>D&amp;A</v>
      </c>
      <c r="D18" s="5">
        <f>_xlfn.XLOOKUP($B18,'1.1 FY2016'!$G$5:$G$61,'1.1 FY2016'!C$5:C$61)</f>
        <v>111101</v>
      </c>
      <c r="E18" s="5" t="str">
        <f>_xlfn.XLOOKUP($B18,'1.1 FY2016'!$G$5:$G$61,'1.1 FY2016'!D$5:D$61)</f>
        <v>Not assigned</v>
      </c>
      <c r="F18" s="24">
        <f>-SUMIF('1.1 FY2016'!$G:$G,'2.1 Database'!B18,'1.1 FY2016'!$E:$E)</f>
        <v>-2003262.2180000001</v>
      </c>
      <c r="G18" s="25">
        <f>-SUMIF('1.2 FY2017'!$G:$G,'2.1 Database'!B18,'1.2 FY2017'!$E:$E)</f>
        <v>-1897676.87</v>
      </c>
      <c r="H18" s="25">
        <f>-SUMIF('1.3 FY2018'!$G:$G,'2.1 Database'!B18,'1.3 FY2018'!$E:$E)</f>
        <v>-1875768.159</v>
      </c>
      <c r="J18" s="2" t="s">
        <v>72</v>
      </c>
      <c r="K18" s="2">
        <f>COUNTIF('2.2 P&amp;L statement'!$B$4:$B$24,'2.1 Database'!J18)</f>
        <v>1</v>
      </c>
    </row>
    <row r="19" spans="2:11" x14ac:dyDescent="0.2">
      <c r="B19" s="5" t="s">
        <v>131</v>
      </c>
      <c r="C19" s="5" t="str">
        <f>_xlfn.XLOOKUP($B19,'1.1 FY2016'!$G$5:$G$61,'1.1 FY2016'!B$5:B$61)</f>
        <v>D&amp;A</v>
      </c>
      <c r="D19" s="5">
        <f>_xlfn.XLOOKUP($B19,'1.1 FY2016'!$G$5:$G$61,'1.1 FY2016'!C$5:C$61)</f>
        <v>1</v>
      </c>
      <c r="E19" s="5" t="str">
        <f>_xlfn.XLOOKUP($B19,'1.1 FY2016'!$G$5:$G$61,'1.1 FY2016'!D$5:D$61)</f>
        <v>Not assigned</v>
      </c>
      <c r="F19" s="24">
        <f>-SUMIF('1.1 FY2016'!$G:$G,'2.1 Database'!B19,'1.1 FY2016'!$E:$E)</f>
        <v>-41981.296000000002</v>
      </c>
      <c r="G19" s="25">
        <f>-SUMIF('1.2 FY2017'!$G:$G,'2.1 Database'!B19,'1.2 FY2017'!$E:$E)</f>
        <v>0</v>
      </c>
      <c r="H19" s="25">
        <f>-SUMIF('1.3 FY2018'!$G:$G,'2.1 Database'!B19,'1.3 FY2018'!$E:$E)</f>
        <v>0</v>
      </c>
      <c r="J19" s="2" t="s">
        <v>72</v>
      </c>
      <c r="K19" s="2">
        <f>COUNTIF('2.2 P&amp;L statement'!$B$4:$B$24,'2.1 Database'!J19)</f>
        <v>1</v>
      </c>
    </row>
    <row r="20" spans="2:11" x14ac:dyDescent="0.2">
      <c r="B20" s="5" t="s">
        <v>132</v>
      </c>
      <c r="C20" s="5" t="str">
        <f>_xlfn.XLOOKUP($B20,'1.1 FY2016'!$G$5:$G$61,'1.1 FY2016'!B$5:B$61)</f>
        <v>Corporate recharges</v>
      </c>
      <c r="D20" s="5" t="str">
        <f>_xlfn.XLOOKUP($B20,'1.1 FY2016'!$G$5:$G$61,'1.1 FY2016'!C$5:C$61)</f>
        <v>1</v>
      </c>
      <c r="E20" s="5" t="str">
        <f>_xlfn.XLOOKUP($B20,'1.1 FY2016'!$G$5:$G$61,'1.1 FY2016'!D$5:D$61)</f>
        <v>Greeny Ltd</v>
      </c>
      <c r="F20" s="24">
        <f>-SUMIF('1.1 FY2016'!$G:$G,'2.1 Database'!B20,'1.1 FY2016'!$E:$E)</f>
        <v>2156147.4</v>
      </c>
      <c r="G20" s="25">
        <f>-SUMIF('1.2 FY2017'!$G:$G,'2.1 Database'!B20,'1.2 FY2017'!$E:$E)</f>
        <v>1643711.145</v>
      </c>
      <c r="H20" s="25">
        <f>-SUMIF('1.3 FY2018'!$G:$G,'2.1 Database'!B20,'1.3 FY2018'!$E:$E)</f>
        <v>1418521.358</v>
      </c>
      <c r="J20" s="2" t="s">
        <v>228</v>
      </c>
      <c r="K20" s="2">
        <f>COUNTIF('2.2 P&amp;L statement'!$B$4:$B$24,'2.1 Database'!J20)</f>
        <v>1</v>
      </c>
    </row>
    <row r="21" spans="2:11" x14ac:dyDescent="0.2">
      <c r="B21" s="5" t="s">
        <v>133</v>
      </c>
      <c r="C21" s="5" t="str">
        <f>_xlfn.XLOOKUP($B21,'1.1 FY2016'!$G$5:$G$61,'1.1 FY2016'!B$5:B$61)</f>
        <v>Corporate recharges</v>
      </c>
      <c r="D21" s="5">
        <f>_xlfn.XLOOKUP($B21,'1.1 FY2016'!$G$5:$G$61,'1.1 FY2016'!C$5:C$61)</f>
        <v>14</v>
      </c>
      <c r="E21" s="5" t="str">
        <f>_xlfn.XLOOKUP($B21,'1.1 FY2016'!$G$5:$G$61,'1.1 FY2016'!D$5:D$61)</f>
        <v>Generco Cosmetics Ltd</v>
      </c>
      <c r="F21" s="24">
        <f>-SUMIF('1.1 FY2016'!$G:$G,'2.1 Database'!B21,'1.1 FY2016'!$E:$E)</f>
        <v>291428.55199999997</v>
      </c>
      <c r="G21" s="25">
        <f>-SUMIF('1.2 FY2017'!$G:$G,'2.1 Database'!B21,'1.2 FY2017'!$E:$E)</f>
        <v>0</v>
      </c>
      <c r="H21" s="25">
        <f>-SUMIF('1.3 FY2018'!$G:$G,'2.1 Database'!B21,'1.3 FY2018'!$E:$E)</f>
        <v>0</v>
      </c>
      <c r="J21" s="2" t="s">
        <v>228</v>
      </c>
      <c r="K21" s="2">
        <f>COUNTIF('2.2 P&amp;L statement'!$B$4:$B$24,'2.1 Database'!J21)</f>
        <v>1</v>
      </c>
    </row>
    <row r="22" spans="2:11" x14ac:dyDescent="0.2">
      <c r="B22" s="5" t="s">
        <v>134</v>
      </c>
      <c r="C22" s="5" t="str">
        <f>_xlfn.XLOOKUP($B22,'1.1 FY2016'!$G$5:$G$61,'1.1 FY2016'!B$5:B$61)</f>
        <v>Corporate recharges</v>
      </c>
      <c r="D22" s="5">
        <f>_xlfn.XLOOKUP($B22,'1.1 FY2016'!$G$5:$G$61,'1.1 FY2016'!C$5:C$61)</f>
        <v>1037</v>
      </c>
      <c r="E22" s="5" t="str">
        <f>_xlfn.XLOOKUP($B22,'1.1 FY2016'!$G$5:$G$61,'1.1 FY2016'!D$5:D$61)</f>
        <v>Generco Canada JSC</v>
      </c>
      <c r="F22" s="24">
        <f>-SUMIF('1.1 FY2016'!$G:$G,'2.1 Database'!B22,'1.1 FY2016'!$E:$E)</f>
        <v>0</v>
      </c>
      <c r="G22" s="25">
        <f>-SUMIF('1.2 FY2017'!$G:$G,'2.1 Database'!B22,'1.2 FY2017'!$E:$E)</f>
        <v>0</v>
      </c>
      <c r="H22" s="25">
        <f>-SUMIF('1.3 FY2018'!$G:$G,'2.1 Database'!B22,'1.3 FY2018'!$E:$E)</f>
        <v>0</v>
      </c>
      <c r="J22" s="2" t="s">
        <v>228</v>
      </c>
      <c r="K22" s="2">
        <f>COUNTIF('2.2 P&amp;L statement'!$B$4:$B$24,'2.1 Database'!J22)</f>
        <v>1</v>
      </c>
    </row>
    <row r="23" spans="2:11" x14ac:dyDescent="0.2">
      <c r="B23" s="5" t="s">
        <v>135</v>
      </c>
      <c r="C23" s="5" t="str">
        <f>_xlfn.XLOOKUP($B23,'1.1 FY2016'!$G$5:$G$61,'1.1 FY2016'!B$5:B$61)</f>
        <v>Corporate recharges</v>
      </c>
      <c r="D23" s="5" t="str">
        <f>_xlfn.XLOOKUP($B23,'1.1 FY2016'!$G$5:$G$61,'1.1 FY2016'!C$5:C$61)</f>
        <v>1087</v>
      </c>
      <c r="E23" s="5" t="str">
        <f>_xlfn.XLOOKUP($B23,'1.1 FY2016'!$G$5:$G$61,'1.1 FY2016'!D$5:D$61)</f>
        <v>Gener Beauty GmbH</v>
      </c>
      <c r="F23" s="24">
        <f>-SUMIF('1.1 FY2016'!$G:$G,'2.1 Database'!B23,'1.1 FY2016'!$E:$E)</f>
        <v>33736.5</v>
      </c>
      <c r="G23" s="25">
        <f>-SUMIF('1.2 FY2017'!$G:$G,'2.1 Database'!B23,'1.2 FY2017'!$E:$E)</f>
        <v>0</v>
      </c>
      <c r="H23" s="25">
        <f>-SUMIF('1.3 FY2018'!$G:$G,'2.1 Database'!B23,'1.3 FY2018'!$E:$E)</f>
        <v>0</v>
      </c>
      <c r="J23" s="2" t="s">
        <v>228</v>
      </c>
      <c r="K23" s="2">
        <f>COUNTIF('2.2 P&amp;L statement'!$B$4:$B$24,'2.1 Database'!J23)</f>
        <v>1</v>
      </c>
    </row>
    <row r="24" spans="2:11" x14ac:dyDescent="0.2">
      <c r="B24" s="5" t="s">
        <v>136</v>
      </c>
      <c r="C24" s="5" t="str">
        <f>_xlfn.XLOOKUP($B24,'1.1 FY2016'!$G$5:$G$61,'1.1 FY2016'!B$5:B$61)</f>
        <v>Corporate recharges</v>
      </c>
      <c r="D24" s="5">
        <f>_xlfn.XLOOKUP($B24,'1.1 FY2016'!$G$5:$G$61,'1.1 FY2016'!C$5:C$61)</f>
        <v>1009</v>
      </c>
      <c r="E24" s="5" t="str">
        <f>_xlfn.XLOOKUP($B24,'1.1 FY2016'!$G$5:$G$61,'1.1 FY2016'!D$5:D$61)</f>
        <v>Green Ventures Ltd</v>
      </c>
      <c r="F24" s="24">
        <f>-SUMIF('1.1 FY2016'!$G:$G,'2.1 Database'!B24,'1.1 FY2016'!$E:$E)</f>
        <v>0</v>
      </c>
      <c r="G24" s="25">
        <f>-SUMIF('1.2 FY2017'!$G:$G,'2.1 Database'!B24,'1.2 FY2017'!$E:$E)</f>
        <v>0</v>
      </c>
      <c r="H24" s="25">
        <f>-SUMIF('1.3 FY2018'!$G:$G,'2.1 Database'!B24,'1.3 FY2018'!$E:$E)</f>
        <v>0</v>
      </c>
      <c r="J24" s="2" t="s">
        <v>228</v>
      </c>
      <c r="K24" s="2">
        <f>COUNTIF('2.2 P&amp;L statement'!$B$4:$B$24,'2.1 Database'!J24)</f>
        <v>1</v>
      </c>
    </row>
    <row r="25" spans="2:11" x14ac:dyDescent="0.2">
      <c r="B25" s="5" t="s">
        <v>137</v>
      </c>
      <c r="C25" s="5" t="str">
        <f>_xlfn.XLOOKUP($B25,'1.1 FY2016'!$G$5:$G$61,'1.1 FY2016'!B$5:B$61)</f>
        <v>Corporate recharges</v>
      </c>
      <c r="D25" s="5">
        <f>_xlfn.XLOOKUP($B25,'1.1 FY2016'!$G$5:$G$61,'1.1 FY2016'!C$5:C$61)</f>
        <v>1007</v>
      </c>
      <c r="E25" s="5" t="str">
        <f>_xlfn.XLOOKUP($B25,'1.1 FY2016'!$G$5:$G$61,'1.1 FY2016'!D$5:D$61)</f>
        <v>Generco Sunshine JSC</v>
      </c>
      <c r="F25" s="24">
        <f>-SUMIF('1.1 FY2016'!$G:$G,'2.1 Database'!B25,'1.1 FY2016'!$E:$E)</f>
        <v>0</v>
      </c>
      <c r="G25" s="25">
        <f>-SUMIF('1.2 FY2017'!$G:$G,'2.1 Database'!B25,'1.2 FY2017'!$E:$E)</f>
        <v>0</v>
      </c>
      <c r="H25" s="25">
        <f>-SUMIF('1.3 FY2018'!$G:$G,'2.1 Database'!B25,'1.3 FY2018'!$E:$E)</f>
        <v>0</v>
      </c>
      <c r="J25" s="2" t="s">
        <v>228</v>
      </c>
      <c r="K25" s="2">
        <f>COUNTIF('2.2 P&amp;L statement'!$B$4:$B$24,'2.1 Database'!J25)</f>
        <v>1</v>
      </c>
    </row>
    <row r="26" spans="2:11" x14ac:dyDescent="0.2">
      <c r="B26" s="5" t="s">
        <v>138</v>
      </c>
      <c r="C26" s="5" t="str">
        <f>_xlfn.XLOOKUP($B26,'1.1 FY2016'!$G$5:$G$61,'1.1 FY2016'!B$5:B$61)</f>
        <v>Corporate recharges</v>
      </c>
      <c r="D26" s="5">
        <f>_xlfn.XLOOKUP($B26,'1.1 FY2016'!$G$5:$G$61,'1.1 FY2016'!C$5:C$61)</f>
        <v>1008</v>
      </c>
      <c r="E26" s="5" t="str">
        <f>_xlfn.XLOOKUP($B26,'1.1 FY2016'!$G$5:$G$61,'1.1 FY2016'!D$5:D$61)</f>
        <v>Greenco Ltd</v>
      </c>
      <c r="F26" s="24">
        <f>-SUMIF('1.1 FY2016'!$G:$G,'2.1 Database'!B26,'1.1 FY2016'!$E:$E)</f>
        <v>0</v>
      </c>
      <c r="G26" s="25">
        <f>-SUMIF('1.2 FY2017'!$G:$G,'2.1 Database'!B26,'1.2 FY2017'!$E:$E)</f>
        <v>0</v>
      </c>
      <c r="H26" s="25">
        <f>-SUMIF('1.3 FY2018'!$G:$G,'2.1 Database'!B26,'1.3 FY2018'!$E:$E)</f>
        <v>0</v>
      </c>
      <c r="J26" s="2" t="s">
        <v>228</v>
      </c>
      <c r="K26" s="2">
        <f>COUNTIF('2.2 P&amp;L statement'!$B$4:$B$24,'2.1 Database'!J26)</f>
        <v>1</v>
      </c>
    </row>
    <row r="27" spans="2:11" x14ac:dyDescent="0.2">
      <c r="B27" s="5" t="s">
        <v>139</v>
      </c>
      <c r="C27" s="5" t="str">
        <f>_xlfn.XLOOKUP($B27,'1.1 FY2016'!$G$5:$G$61,'1.1 FY2016'!B$5:B$61)</f>
        <v>Corporate recharges</v>
      </c>
      <c r="D27" s="5">
        <f>_xlfn.XLOOKUP($B27,'1.1 FY2016'!$G$5:$G$61,'1.1 FY2016'!C$5:C$61)</f>
        <v>1240</v>
      </c>
      <c r="E27" s="5" t="str">
        <f>_xlfn.XLOOKUP($B27,'1.1 FY2016'!$G$5:$G$61,'1.1 FY2016'!D$5:D$61)</f>
        <v xml:space="preserve">Generco UK </v>
      </c>
      <c r="F27" s="24">
        <f>-SUMIF('1.1 FY2016'!$G:$G,'2.1 Database'!B27,'1.1 FY2016'!$E:$E)</f>
        <v>199600.4</v>
      </c>
      <c r="G27" s="25">
        <f>-SUMIF('1.2 FY2017'!$G:$G,'2.1 Database'!B27,'1.2 FY2017'!$E:$E)</f>
        <v>10461.36</v>
      </c>
      <c r="H27" s="25">
        <f>-SUMIF('1.3 FY2018'!$G:$G,'2.1 Database'!B27,'1.3 FY2018'!$E:$E)</f>
        <v>0</v>
      </c>
      <c r="J27" s="2" t="s">
        <v>228</v>
      </c>
      <c r="K27" s="2">
        <f>COUNTIF('2.2 P&amp;L statement'!$B$4:$B$24,'2.1 Database'!J27)</f>
        <v>1</v>
      </c>
    </row>
    <row r="28" spans="2:11" x14ac:dyDescent="0.2">
      <c r="B28" s="5" t="s">
        <v>140</v>
      </c>
      <c r="C28" s="5" t="str">
        <f>_xlfn.XLOOKUP($B28,'1.1 FY2016'!$G$5:$G$61,'1.1 FY2016'!B$5:B$61)</f>
        <v>Corporate recharges</v>
      </c>
      <c r="D28" s="5">
        <f>_xlfn.XLOOKUP($B28,'1.1 FY2016'!$G$5:$G$61,'1.1 FY2016'!C$5:C$61)</f>
        <v>111111</v>
      </c>
      <c r="E28" s="5" t="str">
        <f>_xlfn.XLOOKUP($B28,'1.1 FY2016'!$G$5:$G$61,'1.1 FY2016'!D$5:D$61)</f>
        <v>External</v>
      </c>
      <c r="F28" s="24">
        <f>-SUMIF('1.1 FY2016'!$G:$G,'2.1 Database'!B28,'1.1 FY2016'!$E:$E)</f>
        <v>539141.4</v>
      </c>
      <c r="G28" s="25">
        <f>-SUMIF('1.2 FY2017'!$G:$G,'2.1 Database'!B28,'1.2 FY2017'!$E:$E)</f>
        <v>6785.94</v>
      </c>
      <c r="H28" s="25">
        <f>-SUMIF('1.3 FY2018'!$G:$G,'2.1 Database'!B28,'1.3 FY2018'!$E:$E)</f>
        <v>902857.84299999999</v>
      </c>
      <c r="J28" s="2" t="s">
        <v>228</v>
      </c>
      <c r="K28" s="2">
        <f>COUNTIF('2.2 P&amp;L statement'!$B$4:$B$24,'2.1 Database'!J28)</f>
        <v>1</v>
      </c>
    </row>
    <row r="29" spans="2:11" x14ac:dyDescent="0.2">
      <c r="B29" s="5" t="s">
        <v>141</v>
      </c>
      <c r="C29" s="5" t="str">
        <f>_xlfn.XLOOKUP($B29,'1.1 FY2016'!$G$5:$G$61,'1.1 FY2016'!B$5:B$61)</f>
        <v>Other income</v>
      </c>
      <c r="D29" s="5">
        <f>_xlfn.XLOOKUP($B29,'1.1 FY2016'!$G$5:$G$61,'1.1 FY2016'!C$5:C$61)</f>
        <v>111111</v>
      </c>
      <c r="E29" s="5" t="str">
        <f>_xlfn.XLOOKUP($B29,'1.1 FY2016'!$G$5:$G$61,'1.1 FY2016'!D$5:D$61)</f>
        <v>External</v>
      </c>
      <c r="F29" s="24">
        <f>-SUMIF('1.1 FY2016'!$G:$G,'2.1 Database'!B29,'1.1 FY2016'!$E:$E)</f>
        <v>57.221999999999994</v>
      </c>
      <c r="G29" s="25">
        <f>-SUMIF('1.2 FY2017'!$G:$G,'2.1 Database'!B29,'1.2 FY2017'!$E:$E)</f>
        <v>-9793.84</v>
      </c>
      <c r="H29" s="25">
        <f>-SUMIF('1.3 FY2018'!$G:$G,'2.1 Database'!B29,'1.3 FY2018'!$E:$E)</f>
        <v>15872.001999999999</v>
      </c>
      <c r="J29" s="2" t="s">
        <v>74</v>
      </c>
      <c r="K29" s="2">
        <f>COUNTIF('2.2 P&amp;L statement'!$B$4:$B$24,'2.1 Database'!J29)</f>
        <v>1</v>
      </c>
    </row>
    <row r="30" spans="2:11" x14ac:dyDescent="0.2">
      <c r="B30" s="5" t="s">
        <v>142</v>
      </c>
      <c r="C30" s="5" t="str">
        <f>_xlfn.XLOOKUP($B30,'1.1 FY2016'!$G$5:$G$61,'1.1 FY2016'!B$5:B$61)</f>
        <v>Marketing expenses</v>
      </c>
      <c r="D30" s="5">
        <f>_xlfn.XLOOKUP($B30,'1.1 FY2016'!$G$5:$G$61,'1.1 FY2016'!C$5:C$61)</f>
        <v>111111</v>
      </c>
      <c r="E30" s="5" t="str">
        <f>_xlfn.XLOOKUP($B30,'1.1 FY2016'!$G$5:$G$61,'1.1 FY2016'!D$5:D$61)</f>
        <v>External</v>
      </c>
      <c r="F30" s="24">
        <f>-SUMIF('1.1 FY2016'!$G:$G,'2.1 Database'!B30,'1.1 FY2016'!$E:$E)</f>
        <v>-22314.879999999997</v>
      </c>
      <c r="G30" s="25">
        <f>-SUMIF('1.2 FY2017'!$G:$G,'2.1 Database'!B30,'1.2 FY2017'!$E:$E)</f>
        <v>-65947.7</v>
      </c>
      <c r="H30" s="25">
        <f>-SUMIF('1.3 FY2018'!$G:$G,'2.1 Database'!B30,'1.3 FY2018'!$E:$E)</f>
        <v>-57.317999999999998</v>
      </c>
      <c r="J30" s="2" t="s">
        <v>226</v>
      </c>
      <c r="K30" s="2">
        <f>COUNTIF('2.2 P&amp;L statement'!$B$4:$B$24,'2.1 Database'!J30)</f>
        <v>1</v>
      </c>
    </row>
    <row r="31" spans="2:11" x14ac:dyDescent="0.2">
      <c r="B31" s="5" t="s">
        <v>143</v>
      </c>
      <c r="C31" s="5" t="str">
        <f>_xlfn.XLOOKUP($B31,'1.1 FY2016'!$G$5:$G$61,'1.1 FY2016'!B$5:B$61)</f>
        <v>Software&amp;IT</v>
      </c>
      <c r="D31" s="5">
        <f>_xlfn.XLOOKUP($B31,'1.1 FY2016'!$G$5:$G$61,'1.1 FY2016'!C$5:C$61)</f>
        <v>88</v>
      </c>
      <c r="E31" s="5" t="str">
        <f>_xlfn.XLOOKUP($B31,'1.1 FY2016'!$G$5:$G$61,'1.1 FY2016'!D$5:D$61)</f>
        <v>Generco Ltd</v>
      </c>
      <c r="F31" s="24">
        <f>-SUMIF('1.1 FY2016'!$G:$G,'2.1 Database'!B31,'1.1 FY2016'!$E:$E)</f>
        <v>-204000</v>
      </c>
      <c r="G31" s="25">
        <f>-SUMIF('1.2 FY2017'!$G:$G,'2.1 Database'!B31,'1.2 FY2017'!$E:$E)</f>
        <v>0</v>
      </c>
      <c r="H31" s="25">
        <f>-SUMIF('1.3 FY2018'!$G:$G,'2.1 Database'!B31,'1.3 FY2018'!$E:$E)</f>
        <v>0</v>
      </c>
      <c r="J31" s="2" t="s">
        <v>226</v>
      </c>
      <c r="K31" s="2">
        <f>COUNTIF('2.2 P&amp;L statement'!$B$4:$B$24,'2.1 Database'!J31)</f>
        <v>1</v>
      </c>
    </row>
    <row r="32" spans="2:11" x14ac:dyDescent="0.2">
      <c r="B32" s="5" t="s">
        <v>144</v>
      </c>
      <c r="C32" s="5" t="str">
        <f>_xlfn.XLOOKUP($B32,'1.1 FY2016'!$G$5:$G$61,'1.1 FY2016'!B$5:B$61)</f>
        <v>Software&amp;IT</v>
      </c>
      <c r="D32" s="5">
        <f>_xlfn.XLOOKUP($B32,'1.1 FY2016'!$G$5:$G$61,'1.1 FY2016'!C$5:C$61)</f>
        <v>111111</v>
      </c>
      <c r="E32" s="5" t="str">
        <f>_xlfn.XLOOKUP($B32,'1.1 FY2016'!$G$5:$G$61,'1.1 FY2016'!D$5:D$61)</f>
        <v>External</v>
      </c>
      <c r="F32" s="24">
        <f>-SUMIF('1.1 FY2016'!$G:$G,'2.1 Database'!B32,'1.1 FY2016'!$E:$E)</f>
        <v>-138.41399999999999</v>
      </c>
      <c r="G32" s="25">
        <f>-SUMIF('1.2 FY2017'!$G:$G,'2.1 Database'!B32,'1.2 FY2017'!$E:$E)</f>
        <v>-5138.91</v>
      </c>
      <c r="H32" s="25">
        <f>-SUMIF('1.3 FY2018'!$G:$G,'2.1 Database'!B32,'1.3 FY2018'!$E:$E)</f>
        <v>-19198.66</v>
      </c>
      <c r="J32" s="2" t="s">
        <v>226</v>
      </c>
      <c r="K32" s="2">
        <f>COUNTIF('2.2 P&amp;L statement'!$B$4:$B$24,'2.1 Database'!J32)</f>
        <v>1</v>
      </c>
    </row>
    <row r="33" spans="2:11" x14ac:dyDescent="0.2">
      <c r="B33" s="5" t="s">
        <v>145</v>
      </c>
      <c r="C33" s="5" t="str">
        <f>_xlfn.XLOOKUP($B33,'1.1 FY2016'!$G$5:$G$61,'1.1 FY2016'!B$5:B$61)</f>
        <v>Leasings</v>
      </c>
      <c r="D33" s="5">
        <f>_xlfn.XLOOKUP($B33,'1.1 FY2016'!$G$5:$G$61,'1.1 FY2016'!C$5:C$61)</f>
        <v>111111</v>
      </c>
      <c r="E33" s="5" t="str">
        <f>_xlfn.XLOOKUP($B33,'1.1 FY2016'!$G$5:$G$61,'1.1 FY2016'!D$5:D$61)</f>
        <v>External</v>
      </c>
      <c r="F33" s="24">
        <f>-SUMIF('1.1 FY2016'!$G:$G,'2.1 Database'!B33,'1.1 FY2016'!$E:$E)</f>
        <v>-1127445.872</v>
      </c>
      <c r="G33" s="25">
        <f>-SUMIF('1.2 FY2017'!$G:$G,'2.1 Database'!B33,'1.2 FY2017'!$E:$E)</f>
        <v>-1055381.4750000001</v>
      </c>
      <c r="H33" s="25">
        <f>-SUMIF('1.3 FY2018'!$G:$G,'2.1 Database'!B33,'1.3 FY2018'!$E:$E)</f>
        <v>172933.44899999999</v>
      </c>
      <c r="J33" s="2" t="s">
        <v>77</v>
      </c>
      <c r="K33" s="2">
        <f>COUNTIF('2.2 P&amp;L statement'!$B$4:$B$24,'2.1 Database'!J33)</f>
        <v>1</v>
      </c>
    </row>
    <row r="34" spans="2:11" x14ac:dyDescent="0.2">
      <c r="B34" s="5" t="s">
        <v>146</v>
      </c>
      <c r="C34" s="5" t="str">
        <f>_xlfn.XLOOKUP($B34,'1.1 FY2016'!$G$5:$G$61,'1.1 FY2016'!B$5:B$61)</f>
        <v>Service expenses</v>
      </c>
      <c r="D34" s="5" t="str">
        <f>_xlfn.XLOOKUP($B34,'1.1 FY2016'!$G$5:$G$61,'1.1 FY2016'!C$5:C$61)</f>
        <v>43</v>
      </c>
      <c r="E34" s="5" t="str">
        <f>_xlfn.XLOOKUP($B34,'1.1 FY2016'!$G$5:$G$61,'1.1 FY2016'!D$5:D$61)</f>
        <v>Greeny France SL</v>
      </c>
      <c r="F34" s="24">
        <f>-SUMIF('1.1 FY2016'!$G:$G,'2.1 Database'!B34,'1.1 FY2016'!$E:$E)</f>
        <v>-133722</v>
      </c>
      <c r="G34" s="25">
        <f>-SUMIF('1.2 FY2017'!$G:$G,'2.1 Database'!B34,'1.2 FY2017'!$E:$E)</f>
        <v>0</v>
      </c>
      <c r="H34" s="25">
        <f>-SUMIF('1.3 FY2018'!$G:$G,'2.1 Database'!B34,'1.3 FY2018'!$E:$E)</f>
        <v>0</v>
      </c>
      <c r="J34" s="2" t="s">
        <v>229</v>
      </c>
      <c r="K34" s="2">
        <f>COUNTIF('2.2 P&amp;L statement'!$B$4:$B$24,'2.1 Database'!J34)</f>
        <v>1</v>
      </c>
    </row>
    <row r="35" spans="2:11" x14ac:dyDescent="0.2">
      <c r="B35" s="5" t="s">
        <v>147</v>
      </c>
      <c r="C35" s="5" t="str">
        <f>_xlfn.XLOOKUP($B35,'1.1 FY2016'!$G$5:$G$61,'1.1 FY2016'!B$5:B$61)</f>
        <v>Service expenses</v>
      </c>
      <c r="D35" s="5" t="str">
        <f>_xlfn.XLOOKUP($B35,'1.1 FY2016'!$G$5:$G$61,'1.1 FY2016'!C$5:C$61)</f>
        <v>2240</v>
      </c>
      <c r="E35" s="5" t="str">
        <f>_xlfn.XLOOKUP($B35,'1.1 FY2016'!$G$5:$G$61,'1.1 FY2016'!D$5:D$61)</f>
        <v>Greeny Germany GmbH</v>
      </c>
      <c r="F35" s="24">
        <f>-SUMIF('1.1 FY2016'!$G:$G,'2.1 Database'!B35,'1.1 FY2016'!$E:$E)</f>
        <v>-328061.886</v>
      </c>
      <c r="G35" s="25">
        <f>-SUMIF('1.2 FY2017'!$G:$G,'2.1 Database'!B35,'1.2 FY2017'!$E:$E)</f>
        <v>-430845.34499999997</v>
      </c>
      <c r="H35" s="25">
        <f>-SUMIF('1.3 FY2018'!$G:$G,'2.1 Database'!B35,'1.3 FY2018'!$E:$E)</f>
        <v>0</v>
      </c>
      <c r="J35" s="2" t="s">
        <v>229</v>
      </c>
      <c r="K35" s="2">
        <f>COUNTIF('2.2 P&amp;L statement'!$B$4:$B$24,'2.1 Database'!J35)</f>
        <v>1</v>
      </c>
    </row>
    <row r="36" spans="2:11" x14ac:dyDescent="0.2">
      <c r="B36" s="5" t="s">
        <v>148</v>
      </c>
      <c r="C36" s="5" t="str">
        <f>_xlfn.XLOOKUP($B36,'1.1 FY2016'!$G$5:$G$61,'1.1 FY2016'!B$5:B$61)</f>
        <v>Service expenses</v>
      </c>
      <c r="D36" s="5">
        <f>_xlfn.XLOOKUP($B36,'1.1 FY2016'!$G$5:$G$61,'1.1 FY2016'!C$5:C$61)</f>
        <v>111111</v>
      </c>
      <c r="E36" s="5" t="str">
        <f>_xlfn.XLOOKUP($B36,'1.1 FY2016'!$G$5:$G$61,'1.1 FY2016'!D$5:D$61)</f>
        <v>External</v>
      </c>
      <c r="F36" s="24">
        <f>-SUMIF('1.1 FY2016'!$G:$G,'2.1 Database'!B36,'1.1 FY2016'!$E:$E)</f>
        <v>-2081304.3219999997</v>
      </c>
      <c r="G36" s="25">
        <f>-SUMIF('1.2 FY2017'!$G:$G,'2.1 Database'!B36,'1.2 FY2017'!$E:$E)</f>
        <v>-1130021</v>
      </c>
      <c r="H36" s="25">
        <f>-SUMIF('1.3 FY2018'!$G:$G,'2.1 Database'!B36,'1.3 FY2018'!$E:$E)</f>
        <v>-1481408.47</v>
      </c>
      <c r="J36" s="2" t="s">
        <v>229</v>
      </c>
      <c r="K36" s="2">
        <f>COUNTIF('2.2 P&amp;L statement'!$B$4:$B$24,'2.1 Database'!J36)</f>
        <v>1</v>
      </c>
    </row>
    <row r="37" spans="2:11" x14ac:dyDescent="0.2">
      <c r="B37" s="5" t="s">
        <v>149</v>
      </c>
      <c r="C37" s="5" t="str">
        <f>_xlfn.XLOOKUP($B37,'1.1 FY2016'!$G$5:$G$61,'1.1 FY2016'!B$5:B$61)</f>
        <v>Charges and contributions</v>
      </c>
      <c r="D37" s="5">
        <f>_xlfn.XLOOKUP($B37,'1.1 FY2016'!$G$5:$G$61,'1.1 FY2016'!C$5:C$61)</f>
        <v>111111</v>
      </c>
      <c r="E37" s="5" t="str">
        <f>_xlfn.XLOOKUP($B37,'1.1 FY2016'!$G$5:$G$61,'1.1 FY2016'!D$5:D$61)</f>
        <v>External</v>
      </c>
      <c r="F37" s="24">
        <f>-SUMIF('1.1 FY2016'!$G:$G,'2.1 Database'!B37,'1.1 FY2016'!$E:$E)</f>
        <v>-33410.031999999999</v>
      </c>
      <c r="G37" s="25">
        <f>-SUMIF('1.2 FY2017'!$G:$G,'2.1 Database'!B37,'1.2 FY2017'!$E:$E)</f>
        <v>-7293.5450000000001</v>
      </c>
      <c r="H37" s="25">
        <f>-SUMIF('1.3 FY2018'!$G:$G,'2.1 Database'!B37,'1.3 FY2018'!$E:$E)</f>
        <v>-40048.799999999996</v>
      </c>
      <c r="J37" s="2" t="s">
        <v>226</v>
      </c>
      <c r="K37" s="2">
        <f>COUNTIF('2.2 P&amp;L statement'!$B$4:$B$24,'2.1 Database'!J37)</f>
        <v>1</v>
      </c>
    </row>
    <row r="38" spans="2:11" x14ac:dyDescent="0.2">
      <c r="B38" s="5" t="s">
        <v>150</v>
      </c>
      <c r="C38" s="5" t="str">
        <f>_xlfn.XLOOKUP($B38,'1.1 FY2016'!$G$5:$G$61,'1.1 FY2016'!B$5:B$61)</f>
        <v>Insurance expenses</v>
      </c>
      <c r="D38" s="5">
        <f>_xlfn.XLOOKUP($B38,'1.1 FY2016'!$G$5:$G$61,'1.1 FY2016'!C$5:C$61)</f>
        <v>111111</v>
      </c>
      <c r="E38" s="5" t="str">
        <f>_xlfn.XLOOKUP($B38,'1.1 FY2016'!$G$5:$G$61,'1.1 FY2016'!D$5:D$61)</f>
        <v>External</v>
      </c>
      <c r="F38" s="24">
        <f>-SUMIF('1.1 FY2016'!$G:$G,'2.1 Database'!B38,'1.1 FY2016'!$E:$E)</f>
        <v>-213090.85199999998</v>
      </c>
      <c r="G38" s="25">
        <f>-SUMIF('1.2 FY2017'!$G:$G,'2.1 Database'!B38,'1.2 FY2017'!$E:$E)</f>
        <v>-48468.665000000001</v>
      </c>
      <c r="H38" s="25">
        <f>-SUMIF('1.3 FY2018'!$G:$G,'2.1 Database'!B38,'1.3 FY2018'!$E:$E)</f>
        <v>-64039.82699999999</v>
      </c>
      <c r="J38" s="2" t="s">
        <v>226</v>
      </c>
      <c r="K38" s="2">
        <f>COUNTIF('2.2 P&amp;L statement'!$B$4:$B$24,'2.1 Database'!J38)</f>
        <v>1</v>
      </c>
    </row>
    <row r="39" spans="2:11" x14ac:dyDescent="0.2">
      <c r="B39" s="5" t="s">
        <v>151</v>
      </c>
      <c r="C39" s="5" t="str">
        <f>_xlfn.XLOOKUP($B39,'1.1 FY2016'!$G$5:$G$61,'1.1 FY2016'!B$5:B$61)</f>
        <v>Travel expenses</v>
      </c>
      <c r="D39" s="5">
        <f>_xlfn.XLOOKUP($B39,'1.1 FY2016'!$G$5:$G$61,'1.1 FY2016'!C$5:C$61)</f>
        <v>111111</v>
      </c>
      <c r="E39" s="5" t="str">
        <f>_xlfn.XLOOKUP($B39,'1.1 FY2016'!$G$5:$G$61,'1.1 FY2016'!D$5:D$61)</f>
        <v>External</v>
      </c>
      <c r="F39" s="24">
        <f>-SUMIF('1.1 FY2016'!$G:$G,'2.1 Database'!B39,'1.1 FY2016'!$E:$E)</f>
        <v>-1813525.004</v>
      </c>
      <c r="G39" s="25">
        <f>-SUMIF('1.2 FY2017'!$G:$G,'2.1 Database'!B39,'1.2 FY2017'!$E:$E)</f>
        <v>-2393259.19</v>
      </c>
      <c r="H39" s="25">
        <f>-SUMIF('1.3 FY2018'!$G:$G,'2.1 Database'!B39,'1.3 FY2018'!$E:$E)</f>
        <v>-2514431.8869999996</v>
      </c>
      <c r="J39" s="2" t="s">
        <v>231</v>
      </c>
      <c r="K39" s="2">
        <f>COUNTIF('2.2 P&amp;L statement'!$B$4:$B$24,'2.1 Database'!J39)</f>
        <v>1</v>
      </c>
    </row>
    <row r="40" spans="2:11" x14ac:dyDescent="0.2">
      <c r="B40" s="5" t="s">
        <v>152</v>
      </c>
      <c r="C40" s="5" t="str">
        <f>_xlfn.XLOOKUP($B40,'1.1 FY2016'!$G$5:$G$61,'1.1 FY2016'!B$5:B$61)</f>
        <v>Utility expenses</v>
      </c>
      <c r="D40" s="5">
        <f>_xlfn.XLOOKUP($B40,'1.1 FY2016'!$G$5:$G$61,'1.1 FY2016'!C$5:C$61)</f>
        <v>111111</v>
      </c>
      <c r="E40" s="5" t="str">
        <f>_xlfn.XLOOKUP($B40,'1.1 FY2016'!$G$5:$G$61,'1.1 FY2016'!D$5:D$61)</f>
        <v>External</v>
      </c>
      <c r="F40" s="24">
        <f>-SUMIF('1.1 FY2016'!$G:$G,'2.1 Database'!B40,'1.1 FY2016'!$E:$E)</f>
        <v>-5552.2</v>
      </c>
      <c r="G40" s="25">
        <f>-SUMIF('1.2 FY2017'!$G:$G,'2.1 Database'!B40,'1.2 FY2017'!$E:$E)</f>
        <v>-23069.654999999999</v>
      </c>
      <c r="H40" s="25">
        <f>-SUMIF('1.3 FY2018'!$G:$G,'2.1 Database'!B40,'1.3 FY2018'!$E:$E)</f>
        <v>-4194.2999999999993</v>
      </c>
      <c r="J40" s="2" t="s">
        <v>226</v>
      </c>
      <c r="K40" s="2">
        <f>COUNTIF('2.2 P&amp;L statement'!$B$4:$B$24,'2.1 Database'!J40)</f>
        <v>1</v>
      </c>
    </row>
    <row r="41" spans="2:11" x14ac:dyDescent="0.2">
      <c r="B41" s="5" t="s">
        <v>153</v>
      </c>
      <c r="C41" s="5" t="str">
        <f>_xlfn.XLOOKUP($B41,'1.1 FY2016'!$G$5:$G$61,'1.1 FY2016'!B$5:B$61)</f>
        <v>Legal expenses</v>
      </c>
      <c r="D41" s="5">
        <f>_xlfn.XLOOKUP($B41,'1.1 FY2016'!$G$5:$G$61,'1.1 FY2016'!C$5:C$61)</f>
        <v>111111</v>
      </c>
      <c r="E41" s="5" t="str">
        <f>_xlfn.XLOOKUP($B41,'1.1 FY2016'!$G$5:$G$61,'1.1 FY2016'!D$5:D$61)</f>
        <v>External</v>
      </c>
      <c r="F41" s="24">
        <f>-SUMIF('1.1 FY2016'!$G:$G,'2.1 Database'!B41,'1.1 FY2016'!$E:$E)</f>
        <v>-43868.975999999995</v>
      </c>
      <c r="G41" s="25">
        <f>-SUMIF('1.2 FY2017'!$G:$G,'2.1 Database'!B41,'1.2 FY2017'!$E:$E)</f>
        <v>-208366.935</v>
      </c>
      <c r="H41" s="25">
        <f>-SUMIF('1.3 FY2018'!$G:$G,'2.1 Database'!B41,'1.3 FY2018'!$E:$E)</f>
        <v>-106525.708</v>
      </c>
      <c r="J41" s="2" t="s">
        <v>226</v>
      </c>
      <c r="K41" s="2">
        <f>COUNTIF('2.2 P&amp;L statement'!$B$4:$B$24,'2.1 Database'!J41)</f>
        <v>1</v>
      </c>
    </row>
    <row r="42" spans="2:11" x14ac:dyDescent="0.2">
      <c r="B42" s="5" t="s">
        <v>154</v>
      </c>
      <c r="C42" s="5" t="str">
        <f>_xlfn.XLOOKUP($B42,'1.1 FY2016'!$G$5:$G$61,'1.1 FY2016'!B$5:B$61)</f>
        <v>Misc costs</v>
      </c>
      <c r="D42" s="5">
        <f>_xlfn.XLOOKUP($B42,'1.1 FY2016'!$G$5:$G$61,'1.1 FY2016'!C$5:C$61)</f>
        <v>111101</v>
      </c>
      <c r="E42" s="5" t="str">
        <f>_xlfn.XLOOKUP($B42,'1.1 FY2016'!$G$5:$G$61,'1.1 FY2016'!D$5:D$61)</f>
        <v>Not assigned</v>
      </c>
      <c r="F42" s="24">
        <f>-SUMIF('1.1 FY2016'!$G:$G,'2.1 Database'!B42,'1.1 FY2016'!$E:$E)</f>
        <v>-10934.671999999999</v>
      </c>
      <c r="G42" s="25">
        <f>-SUMIF('1.2 FY2017'!$G:$G,'2.1 Database'!B42,'1.2 FY2017'!$E:$E)</f>
        <v>-20323.309999999998</v>
      </c>
      <c r="H42" s="25">
        <f>-SUMIF('1.3 FY2018'!$G:$G,'2.1 Database'!B42,'1.3 FY2018'!$E:$E)</f>
        <v>-109811.284</v>
      </c>
      <c r="J42" s="2" t="s">
        <v>226</v>
      </c>
      <c r="K42" s="2">
        <f>COUNTIF('2.2 P&amp;L statement'!$B$4:$B$24,'2.1 Database'!J42)</f>
        <v>1</v>
      </c>
    </row>
    <row r="43" spans="2:11" x14ac:dyDescent="0.2">
      <c r="B43" s="5" t="s">
        <v>155</v>
      </c>
      <c r="C43" s="5" t="str">
        <f>_xlfn.XLOOKUP($B43,'1.1 FY2016'!$G$5:$G$61,'1.1 FY2016'!B$5:B$61)</f>
        <v>Consulting fees</v>
      </c>
      <c r="D43" s="5">
        <f>_xlfn.XLOOKUP($B43,'1.1 FY2016'!$G$5:$G$61,'1.1 FY2016'!C$5:C$61)</f>
        <v>111111</v>
      </c>
      <c r="E43" s="5" t="str">
        <f>_xlfn.XLOOKUP($B43,'1.1 FY2016'!$G$5:$G$61,'1.1 FY2016'!D$5:D$61)</f>
        <v>External</v>
      </c>
      <c r="F43" s="24">
        <f>-SUMIF('1.1 FY2016'!$G:$G,'2.1 Database'!B43,'1.1 FY2016'!$E:$E)</f>
        <v>-20400</v>
      </c>
      <c r="G43" s="25">
        <f>-SUMIF('1.2 FY2017'!$G:$G,'2.1 Database'!B43,'1.2 FY2017'!$E:$E)</f>
        <v>-169489</v>
      </c>
      <c r="H43" s="25">
        <f>-SUMIF('1.3 FY2018'!$G:$G,'2.1 Database'!B43,'1.3 FY2018'!$E:$E)</f>
        <v>-61111.483999999997</v>
      </c>
      <c r="J43" s="2" t="s">
        <v>226</v>
      </c>
      <c r="K43" s="2">
        <f>COUNTIF('2.2 P&amp;L statement'!$B$4:$B$24,'2.1 Database'!J43)</f>
        <v>1</v>
      </c>
    </row>
    <row r="44" spans="2:11" x14ac:dyDescent="0.2">
      <c r="B44" s="5" t="s">
        <v>156</v>
      </c>
      <c r="C44" s="5" t="str">
        <f>_xlfn.XLOOKUP($B44,'1.1 FY2016'!$G$5:$G$61,'1.1 FY2016'!B$5:B$61)</f>
        <v>Misc extraordinary expenses</v>
      </c>
      <c r="D44" s="5">
        <f>_xlfn.XLOOKUP($B44,'1.1 FY2016'!$G$5:$G$61,'1.1 FY2016'!C$5:C$61)</f>
        <v>105</v>
      </c>
      <c r="E44" s="5" t="str">
        <f>_xlfn.XLOOKUP($B44,'1.1 FY2016'!$G$5:$G$61,'1.1 FY2016'!D$5:D$61)</f>
        <v>Generco Healthcare Ltd</v>
      </c>
      <c r="F44" s="24">
        <f>-SUMIF('1.1 FY2016'!$G:$G,'2.1 Database'!B44,'1.1 FY2016'!$E:$E)</f>
        <v>0</v>
      </c>
      <c r="G44" s="25">
        <f>-SUMIF('1.2 FY2017'!$G:$G,'2.1 Database'!B44,'1.2 FY2017'!$E:$E)</f>
        <v>0</v>
      </c>
      <c r="H44" s="25">
        <f>-SUMIF('1.3 FY2018'!$G:$G,'2.1 Database'!B44,'1.3 FY2018'!$E:$E)</f>
        <v>-1684415.2999999998</v>
      </c>
      <c r="J44" s="2" t="s">
        <v>226</v>
      </c>
      <c r="K44" s="2">
        <f>COUNTIF('2.2 P&amp;L statement'!$B$4:$B$24,'2.1 Database'!J44)</f>
        <v>1</v>
      </c>
    </row>
    <row r="45" spans="2:11" x14ac:dyDescent="0.2">
      <c r="B45" s="5" t="s">
        <v>157</v>
      </c>
      <c r="C45" s="5" t="str">
        <f>_xlfn.XLOOKUP($B45,'1.1 FY2016'!$G$5:$G$61,'1.1 FY2016'!B$5:B$61)</f>
        <v>Misc extraordinary expenses</v>
      </c>
      <c r="D45" s="5">
        <f>_xlfn.XLOOKUP($B45,'1.1 FY2016'!$G$5:$G$61,'1.1 FY2016'!C$5:C$61)</f>
        <v>111111</v>
      </c>
      <c r="E45" s="5" t="str">
        <f>_xlfn.XLOOKUP($B45,'1.1 FY2016'!$G$5:$G$61,'1.1 FY2016'!D$5:D$61)</f>
        <v>External</v>
      </c>
      <c r="F45" s="24">
        <f>-SUMIF('1.1 FY2016'!$G:$G,'2.1 Database'!B45,'1.1 FY2016'!$E:$E)</f>
        <v>-563918.152</v>
      </c>
      <c r="G45" s="25">
        <f>-SUMIF('1.2 FY2017'!$G:$G,'2.1 Database'!B45,'1.2 FY2017'!$E:$E)</f>
        <v>-638869.13</v>
      </c>
      <c r="H45" s="25">
        <f>-SUMIF('1.3 FY2018'!$G:$G,'2.1 Database'!B45,'1.3 FY2018'!$E:$E)</f>
        <v>-575626.2649999999</v>
      </c>
      <c r="J45" s="2" t="s">
        <v>226</v>
      </c>
      <c r="K45" s="2">
        <f>COUNTIF('2.2 P&amp;L statement'!$B$4:$B$24,'2.1 Database'!J45)</f>
        <v>1</v>
      </c>
    </row>
    <row r="46" spans="2:11" ht="14.4" x14ac:dyDescent="0.3">
      <c r="B46" s="5" t="s">
        <v>158</v>
      </c>
      <c r="C46" s="5" t="str">
        <f>_xlfn.XLOOKUP($B46,'1.1 FY2016'!$G$5:$G$61,'1.1 FY2016'!B$5:B$61)</f>
        <v>Difference from eliminations</v>
      </c>
      <c r="D46" s="5">
        <f>_xlfn.XLOOKUP($B46,'1.1 FY2016'!$G$5:$G$61,'1.1 FY2016'!C$5:C$61)</f>
        <v>1009</v>
      </c>
      <c r="E46" s="5" t="str">
        <f>_xlfn.XLOOKUP($B46,'1.1 FY2016'!$G$5:$G$61,'1.1 FY2016'!D$5:D$61)</f>
        <v>Green Ventures Ltd</v>
      </c>
      <c r="F46" s="24">
        <f>-SUMIF('1.1 FY2016'!$G:$G,'2.1 Database'!B46,'1.1 FY2016'!$E:$E)</f>
        <v>0</v>
      </c>
      <c r="G46" s="25">
        <f>-SUMIF('1.2 FY2017'!$G:$G,'2.1 Database'!B46,'1.2 FY2017'!$E:$E)</f>
        <v>0</v>
      </c>
      <c r="H46" s="25">
        <f>-SUMIF('1.3 FY2018'!$G:$G,'2.1 Database'!B46,'1.3 FY2018'!$E:$E)</f>
        <v>0</v>
      </c>
      <c r="K46"/>
    </row>
    <row r="47" spans="2:11" ht="14.4" x14ac:dyDescent="0.3">
      <c r="B47" s="5" t="s">
        <v>159</v>
      </c>
      <c r="C47" s="5" t="str">
        <f>_xlfn.XLOOKUP($B47,'1.1 FY2016'!$G$5:$G$61,'1.1 FY2016'!B$5:B$61)</f>
        <v>Difference from eliminations</v>
      </c>
      <c r="D47" s="5">
        <f>_xlfn.XLOOKUP($B47,'1.1 FY2016'!$G$5:$G$61,'1.1 FY2016'!C$5:C$61)</f>
        <v>1007</v>
      </c>
      <c r="E47" s="5" t="str">
        <f>_xlfn.XLOOKUP($B47,'1.1 FY2016'!$G$5:$G$61,'1.1 FY2016'!D$5:D$61)</f>
        <v>Generco Sunshine JSC</v>
      </c>
      <c r="F47" s="24">
        <f>-SUMIF('1.1 FY2016'!$G:$G,'2.1 Database'!B47,'1.1 FY2016'!$E:$E)</f>
        <v>0</v>
      </c>
      <c r="G47" s="25">
        <f>-SUMIF('1.2 FY2017'!$G:$G,'2.1 Database'!B47,'1.2 FY2017'!$E:$E)</f>
        <v>0</v>
      </c>
      <c r="H47" s="25">
        <f>-SUMIF('1.3 FY2018'!$G:$G,'2.1 Database'!B47,'1.3 FY2018'!$E:$E)</f>
        <v>0</v>
      </c>
      <c r="K47"/>
    </row>
    <row r="48" spans="2:11" ht="14.4" x14ac:dyDescent="0.3">
      <c r="B48" s="5" t="s">
        <v>160</v>
      </c>
      <c r="C48" s="5" t="str">
        <f>_xlfn.XLOOKUP($B48,'1.1 FY2016'!$G$5:$G$61,'1.1 FY2016'!B$5:B$61)</f>
        <v>Difference from eliminations</v>
      </c>
      <c r="D48" s="5">
        <f>_xlfn.XLOOKUP($B48,'1.1 FY2016'!$G$5:$G$61,'1.1 FY2016'!C$5:C$61)</f>
        <v>1008</v>
      </c>
      <c r="E48" s="5" t="str">
        <f>_xlfn.XLOOKUP($B48,'1.1 FY2016'!$G$5:$G$61,'1.1 FY2016'!D$5:D$61)</f>
        <v>Greenco Ltd</v>
      </c>
      <c r="F48" s="24">
        <f>-SUMIF('1.1 FY2016'!$G:$G,'2.1 Database'!B48,'1.1 FY2016'!$E:$E)</f>
        <v>0</v>
      </c>
      <c r="G48" s="25">
        <f>-SUMIF('1.2 FY2017'!$G:$G,'2.1 Database'!B48,'1.2 FY2017'!$E:$E)</f>
        <v>0</v>
      </c>
      <c r="H48" s="25">
        <f>-SUMIF('1.3 FY2018'!$G:$G,'2.1 Database'!B48,'1.3 FY2018'!$E:$E)</f>
        <v>0</v>
      </c>
      <c r="K48"/>
    </row>
    <row r="49" spans="2:11" x14ac:dyDescent="0.2">
      <c r="B49" s="5" t="s">
        <v>161</v>
      </c>
      <c r="C49" s="5" t="str">
        <f>_xlfn.XLOOKUP($B49,'1.1 FY2016'!$G$5:$G$61,'1.1 FY2016'!B$5:B$61)</f>
        <v>Interest income</v>
      </c>
      <c r="D49" s="5">
        <f>_xlfn.XLOOKUP($B49,'1.1 FY2016'!$G$5:$G$61,'1.1 FY2016'!C$5:C$61)</f>
        <v>1009</v>
      </c>
      <c r="E49" s="5" t="str">
        <f>_xlfn.XLOOKUP($B49,'1.1 FY2016'!$G$5:$G$61,'1.1 FY2016'!D$5:D$61)</f>
        <v>Green Ventures Ltd</v>
      </c>
      <c r="F49" s="24">
        <f>-SUMIF('1.1 FY2016'!$G:$G,'2.1 Database'!B49,'1.1 FY2016'!$E:$E)</f>
        <v>0</v>
      </c>
      <c r="G49" s="25">
        <f>-SUMIF('1.2 FY2017'!$G:$G,'2.1 Database'!B49,'1.2 FY2017'!$E:$E)</f>
        <v>0</v>
      </c>
      <c r="H49" s="25">
        <f>-SUMIF('1.3 FY2018'!$G:$G,'2.1 Database'!B49,'1.3 FY2018'!$E:$E)</f>
        <v>0</v>
      </c>
      <c r="J49" s="2" t="s">
        <v>230</v>
      </c>
      <c r="K49" s="2">
        <f>COUNTIF('2.2 P&amp;L statement'!$B$4:$B$24,'2.1 Database'!J49)</f>
        <v>1</v>
      </c>
    </row>
    <row r="50" spans="2:11" x14ac:dyDescent="0.2">
      <c r="B50" s="5" t="s">
        <v>162</v>
      </c>
      <c r="C50" s="5" t="str">
        <f>_xlfn.XLOOKUP($B50,'1.1 FY2016'!$G$5:$G$61,'1.1 FY2016'!B$5:B$61)</f>
        <v>Interest income</v>
      </c>
      <c r="D50" s="5">
        <f>_xlfn.XLOOKUP($B50,'1.1 FY2016'!$G$5:$G$61,'1.1 FY2016'!C$5:C$61)</f>
        <v>1007</v>
      </c>
      <c r="E50" s="5" t="str">
        <f>_xlfn.XLOOKUP($B50,'1.1 FY2016'!$G$5:$G$61,'1.1 FY2016'!D$5:D$61)</f>
        <v>Generco Sunshine JSC</v>
      </c>
      <c r="F50" s="24">
        <f>-SUMIF('1.1 FY2016'!$G:$G,'2.1 Database'!B50,'1.1 FY2016'!$E:$E)</f>
        <v>0</v>
      </c>
      <c r="G50" s="25">
        <f>-SUMIF('1.2 FY2017'!$G:$G,'2.1 Database'!B50,'1.2 FY2017'!$E:$E)</f>
        <v>0</v>
      </c>
      <c r="H50" s="25">
        <f>-SUMIF('1.3 FY2018'!$G:$G,'2.1 Database'!B50,'1.3 FY2018'!$E:$E)</f>
        <v>0</v>
      </c>
      <c r="J50" s="2" t="s">
        <v>230</v>
      </c>
      <c r="K50" s="2">
        <f>COUNTIF('2.2 P&amp;L statement'!$B$4:$B$24,'2.1 Database'!J50)</f>
        <v>1</v>
      </c>
    </row>
    <row r="51" spans="2:11" x14ac:dyDescent="0.2">
      <c r="B51" s="5" t="s">
        <v>163</v>
      </c>
      <c r="C51" s="5" t="str">
        <f>_xlfn.XLOOKUP($B51,'1.1 FY2016'!$G$5:$G$61,'1.1 FY2016'!B$5:B$61)</f>
        <v>Interest income</v>
      </c>
      <c r="D51" s="5">
        <f>_xlfn.XLOOKUP($B51,'1.1 FY2016'!$G$5:$G$61,'1.1 FY2016'!C$5:C$61)</f>
        <v>1008</v>
      </c>
      <c r="E51" s="5" t="str">
        <f>_xlfn.XLOOKUP($B51,'1.1 FY2016'!$G$5:$G$61,'1.1 FY2016'!D$5:D$61)</f>
        <v>Greenco Ltd</v>
      </c>
      <c r="F51" s="24">
        <f>-SUMIF('1.1 FY2016'!$G:$G,'2.1 Database'!B51,'1.1 FY2016'!$E:$E)</f>
        <v>0</v>
      </c>
      <c r="G51" s="25">
        <f>-SUMIF('1.2 FY2017'!$G:$G,'2.1 Database'!B51,'1.2 FY2017'!$E:$E)</f>
        <v>0</v>
      </c>
      <c r="H51" s="25">
        <f>-SUMIF('1.3 FY2018'!$G:$G,'2.1 Database'!B51,'1.3 FY2018'!$E:$E)</f>
        <v>0</v>
      </c>
      <c r="J51" s="2" t="s">
        <v>230</v>
      </c>
      <c r="K51" s="2">
        <f>COUNTIF('2.2 P&amp;L statement'!$B$4:$B$24,'2.1 Database'!J51)</f>
        <v>1</v>
      </c>
    </row>
    <row r="52" spans="2:11" x14ac:dyDescent="0.2">
      <c r="B52" s="5" t="s">
        <v>164</v>
      </c>
      <c r="C52" s="5" t="str">
        <f>_xlfn.XLOOKUP($B52,'1.1 FY2016'!$G$5:$G$61,'1.1 FY2016'!B$5:B$61)</f>
        <v>Interest income</v>
      </c>
      <c r="D52" s="5">
        <f>_xlfn.XLOOKUP($B52,'1.1 FY2016'!$G$5:$G$61,'1.1 FY2016'!C$5:C$61)</f>
        <v>1240</v>
      </c>
      <c r="E52" s="5" t="str">
        <f>_xlfn.XLOOKUP($B52,'1.1 FY2016'!$G$5:$G$61,'1.1 FY2016'!D$5:D$61)</f>
        <v xml:space="preserve">Generco UK </v>
      </c>
      <c r="F52" s="24">
        <f>-SUMIF('1.1 FY2016'!$G:$G,'2.1 Database'!B52,'1.1 FY2016'!$E:$E)</f>
        <v>35810.228000000003</v>
      </c>
      <c r="G52" s="25">
        <f>-SUMIF('1.2 FY2017'!$G:$G,'2.1 Database'!B52,'1.2 FY2017'!$E:$E)</f>
        <v>34224.959999999999</v>
      </c>
      <c r="H52" s="25">
        <f>-SUMIF('1.3 FY2018'!$G:$G,'2.1 Database'!B52,'1.3 FY2018'!$E:$E)</f>
        <v>0</v>
      </c>
      <c r="J52" s="2" t="s">
        <v>230</v>
      </c>
      <c r="K52" s="2">
        <f>COUNTIF('2.2 P&amp;L statement'!$B$4:$B$24,'2.1 Database'!J52)</f>
        <v>1</v>
      </c>
    </row>
    <row r="53" spans="2:11" x14ac:dyDescent="0.2">
      <c r="B53" s="5" t="s">
        <v>165</v>
      </c>
      <c r="C53" s="5" t="str">
        <f>_xlfn.XLOOKUP($B53,'1.1 FY2016'!$G$5:$G$61,'1.1 FY2016'!B$5:B$61)</f>
        <v>Interest income</v>
      </c>
      <c r="D53" s="5">
        <f>_xlfn.XLOOKUP($B53,'1.1 FY2016'!$G$5:$G$61,'1.1 FY2016'!C$5:C$61)</f>
        <v>111111</v>
      </c>
      <c r="E53" s="5" t="str">
        <f>_xlfn.XLOOKUP($B53,'1.1 FY2016'!$G$5:$G$61,'1.1 FY2016'!D$5:D$61)</f>
        <v>External</v>
      </c>
      <c r="F53" s="24">
        <f>-SUMIF('1.1 FY2016'!$G:$G,'2.1 Database'!B53,'1.1 FY2016'!$E:$E)</f>
        <v>51927.417999999998</v>
      </c>
      <c r="G53" s="25">
        <f>-SUMIF('1.2 FY2017'!$G:$G,'2.1 Database'!B53,'1.2 FY2017'!$E:$E)</f>
        <v>2204.7199999999998</v>
      </c>
      <c r="H53" s="25">
        <f>-SUMIF('1.3 FY2018'!$G:$G,'2.1 Database'!B53,'1.3 FY2018'!$E:$E)</f>
        <v>73809.511999999988</v>
      </c>
      <c r="J53" s="2" t="s">
        <v>230</v>
      </c>
      <c r="K53" s="2">
        <f>COUNTIF('2.2 P&amp;L statement'!$B$4:$B$24,'2.1 Database'!J53)</f>
        <v>1</v>
      </c>
    </row>
    <row r="54" spans="2:11" x14ac:dyDescent="0.2">
      <c r="B54" s="5" t="s">
        <v>166</v>
      </c>
      <c r="C54" s="5" t="str">
        <f>_xlfn.XLOOKUP($B54,'1.1 FY2016'!$G$5:$G$61,'1.1 FY2016'!B$5:B$61)</f>
        <v>Capitalized interest</v>
      </c>
      <c r="D54" s="5">
        <f>_xlfn.XLOOKUP($B54,'1.1 FY2016'!$G$5:$G$61,'1.1 FY2016'!C$5:C$61)</f>
        <v>111101</v>
      </c>
      <c r="E54" s="5" t="str">
        <f>_xlfn.XLOOKUP($B54,'1.1 FY2016'!$G$5:$G$61,'1.1 FY2016'!D$5:D$61)</f>
        <v>Not assigned</v>
      </c>
      <c r="F54" s="24">
        <f>-SUMIF('1.1 FY2016'!$G:$G,'2.1 Database'!B54,'1.1 FY2016'!$E:$E)</f>
        <v>862270.63399999996</v>
      </c>
      <c r="G54" s="25">
        <f>-SUMIF('1.2 FY2017'!$G:$G,'2.1 Database'!B54,'1.2 FY2017'!$E:$E)</f>
        <v>0</v>
      </c>
      <c r="H54" s="25">
        <f>-SUMIF('1.3 FY2018'!$G:$G,'2.1 Database'!B54,'1.3 FY2018'!$E:$E)</f>
        <v>0</v>
      </c>
      <c r="J54" s="2" t="s">
        <v>67</v>
      </c>
      <c r="K54" s="2">
        <f>COUNTIF('2.2 P&amp;L statement'!$B$4:$B$24,'2.1 Database'!J54)</f>
        <v>1</v>
      </c>
    </row>
    <row r="55" spans="2:11" x14ac:dyDescent="0.2">
      <c r="B55" s="5" t="s">
        <v>167</v>
      </c>
      <c r="C55" s="5" t="str">
        <f>_xlfn.XLOOKUP($B55,'1.1 FY2016'!$G$5:$G$61,'1.1 FY2016'!B$5:B$61)</f>
        <v>Non-recurring costs</v>
      </c>
      <c r="D55" s="5">
        <f>_xlfn.XLOOKUP($B55,'1.1 FY2016'!$G$5:$G$61,'1.1 FY2016'!C$5:C$61)</f>
        <v>111101</v>
      </c>
      <c r="E55" s="5" t="str">
        <f>_xlfn.XLOOKUP($B55,'1.1 FY2016'!$G$5:$G$61,'1.1 FY2016'!D$5:D$61)</f>
        <v>Not assigned</v>
      </c>
      <c r="F55" s="24">
        <f>-SUMIF('1.1 FY2016'!$G:$G,'2.1 Database'!B55,'1.1 FY2016'!$E:$E)</f>
        <v>-22763</v>
      </c>
      <c r="G55" s="25">
        <f>-SUMIF('1.2 FY2017'!$G:$G,'2.1 Database'!B55,'1.2 FY2017'!$E:$E)</f>
        <v>-80617.179999999993</v>
      </c>
      <c r="H55" s="25">
        <f>-SUMIF('1.3 FY2018'!$G:$G,'2.1 Database'!B55,'1.3 FY2018'!$E:$E)</f>
        <v>-7173.195999999999</v>
      </c>
      <c r="J55" s="2" t="s">
        <v>232</v>
      </c>
      <c r="K55" s="2">
        <f>COUNTIF('2.2 P&amp;L statement'!$B$4:$B$24,'2.1 Database'!J55)</f>
        <v>1</v>
      </c>
    </row>
    <row r="56" spans="2:11" x14ac:dyDescent="0.2">
      <c r="B56" s="5" t="s">
        <v>168</v>
      </c>
      <c r="C56" s="5" t="str">
        <f>_xlfn.XLOOKUP($B56,'1.1 FY2016'!$G$5:$G$61,'1.1 FY2016'!B$5:B$61)</f>
        <v>Interest expenses</v>
      </c>
      <c r="D56" s="5">
        <f>_xlfn.XLOOKUP($B56,'1.1 FY2016'!$G$5:$G$61,'1.1 FY2016'!C$5:C$61)</f>
        <v>88</v>
      </c>
      <c r="E56" s="5" t="str">
        <f>_xlfn.XLOOKUP($B56,'1.1 FY2016'!$G$5:$G$61,'1.1 FY2016'!D$5:D$61)</f>
        <v>Generco Ltd</v>
      </c>
      <c r="F56" s="24">
        <f>-SUMIF('1.1 FY2016'!$G:$G,'2.1 Database'!B56,'1.1 FY2016'!$E:$E)</f>
        <v>-2930430.0120000001</v>
      </c>
      <c r="G56" s="25">
        <f>-SUMIF('1.2 FY2017'!$G:$G,'2.1 Database'!B56,'1.2 FY2017'!$E:$E)</f>
        <v>-2752704.22</v>
      </c>
      <c r="H56" s="25">
        <f>-SUMIF('1.3 FY2018'!$G:$G,'2.1 Database'!B56,'1.3 FY2018'!$E:$E)</f>
        <v>-2324465.8859999999</v>
      </c>
      <c r="J56" s="2" t="s">
        <v>230</v>
      </c>
      <c r="K56" s="2">
        <f>COUNTIF('2.2 P&amp;L statement'!$B$4:$B$24,'2.1 Database'!J56)</f>
        <v>1</v>
      </c>
    </row>
    <row r="57" spans="2:11" x14ac:dyDescent="0.2">
      <c r="B57" s="5" t="s">
        <v>169</v>
      </c>
      <c r="C57" s="5" t="str">
        <f>_xlfn.XLOOKUP($B57,'1.1 FY2016'!$G$5:$G$61,'1.1 FY2016'!B$5:B$61)</f>
        <v>Current taxes</v>
      </c>
      <c r="D57" s="5">
        <f>_xlfn.XLOOKUP($B57,'1.1 FY2016'!$G$5:$G$61,'1.1 FY2016'!C$5:C$61)</f>
        <v>111101</v>
      </c>
      <c r="E57" s="5" t="str">
        <f>_xlfn.XLOOKUP($B57,'1.1 FY2016'!$G$5:$G$61,'1.1 FY2016'!D$5:D$61)</f>
        <v>Not assigned</v>
      </c>
      <c r="F57" s="24">
        <f>-SUMIF('1.1 FY2016'!$G:$G,'2.1 Database'!B57,'1.1 FY2016'!$E:$E)</f>
        <v>49378.641999999993</v>
      </c>
      <c r="G57" s="25">
        <f>-SUMIF('1.2 FY2017'!$G:$G,'2.1 Database'!B57,'1.2 FY2017'!$E:$E)</f>
        <v>-496748.70000000007</v>
      </c>
      <c r="H57" s="25">
        <f>-SUMIF('1.3 FY2018'!$G:$G,'2.1 Database'!B57,'1.3 FY2018'!$E:$E)</f>
        <v>-2558.1950000000002</v>
      </c>
      <c r="J57" s="2" t="s">
        <v>233</v>
      </c>
      <c r="K57" s="2">
        <f>COUNTIF('2.2 P&amp;L statement'!$B$4:$B$24,'2.1 Database'!J57)</f>
        <v>1</v>
      </c>
    </row>
    <row r="58" spans="2:11" x14ac:dyDescent="0.2">
      <c r="B58" s="5" t="s">
        <v>170</v>
      </c>
      <c r="C58" s="5" t="str">
        <f>_xlfn.XLOOKUP($B58,'1.1 FY2016'!$G$5:$G$61,'1.1 FY2016'!B$5:B$61)</f>
        <v>Regional taxes</v>
      </c>
      <c r="D58" s="5">
        <f>_xlfn.XLOOKUP($B58,'1.1 FY2016'!$G$5:$G$61,'1.1 FY2016'!C$5:C$61)</f>
        <v>111101</v>
      </c>
      <c r="E58" s="5" t="str">
        <f>_xlfn.XLOOKUP($B58,'1.1 FY2016'!$G$5:$G$61,'1.1 FY2016'!D$5:D$61)</f>
        <v>Not assigned</v>
      </c>
      <c r="F58" s="24">
        <f>-SUMIF('1.1 FY2016'!$G:$G,'2.1 Database'!B58,'1.1 FY2016'!$E:$E)</f>
        <v>-516250.67</v>
      </c>
      <c r="G58" s="25">
        <f>-SUMIF('1.2 FY2017'!$G:$G,'2.1 Database'!B58,'1.2 FY2017'!$E:$E)</f>
        <v>-480872.96000000002</v>
      </c>
      <c r="H58" s="25">
        <f>-SUMIF('1.3 FY2018'!$G:$G,'2.1 Database'!B58,'1.3 FY2018'!$E:$E)</f>
        <v>-522710.353</v>
      </c>
      <c r="J58" s="2" t="s">
        <v>233</v>
      </c>
      <c r="K58" s="2">
        <f>COUNTIF('2.2 P&amp;L statement'!$B$4:$B$24,'2.1 Database'!J58)</f>
        <v>1</v>
      </c>
    </row>
    <row r="59" spans="2:11" x14ac:dyDescent="0.2">
      <c r="B59" s="5" t="s">
        <v>171</v>
      </c>
      <c r="C59" s="5" t="str">
        <f>_xlfn.XLOOKUP($B59,'1.1 FY2016'!$G$5:$G$61,'1.1 FY2016'!B$5:B$61)</f>
        <v>Deferred taxes</v>
      </c>
      <c r="D59" s="5">
        <f>_xlfn.XLOOKUP($B59,'1.1 FY2016'!$G$5:$G$61,'1.1 FY2016'!C$5:C$61)</f>
        <v>111101</v>
      </c>
      <c r="E59" s="5" t="str">
        <f>_xlfn.XLOOKUP($B59,'1.1 FY2016'!$G$5:$G$61,'1.1 FY2016'!D$5:D$61)</f>
        <v>Not assigned</v>
      </c>
      <c r="F59" s="24">
        <f>-SUMIF('1.1 FY2016'!$G:$G,'2.1 Database'!B59,'1.1 FY2016'!$E:$E)</f>
        <v>-21593.093999999997</v>
      </c>
      <c r="G59" s="25">
        <f>-SUMIF('1.2 FY2017'!$G:$G,'2.1 Database'!B59,'1.2 FY2017'!$E:$E)</f>
        <v>-6570.3050000000003</v>
      </c>
      <c r="H59" s="25">
        <f>-SUMIF('1.3 FY2018'!$G:$G,'2.1 Database'!B59,'1.3 FY2018'!$E:$E)</f>
        <v>160303.52199999997</v>
      </c>
      <c r="J59" s="2" t="s">
        <v>233</v>
      </c>
      <c r="K59" s="2">
        <f>COUNTIF('2.2 P&amp;L statement'!$B$4:$B$24,'2.1 Database'!J59)</f>
        <v>1</v>
      </c>
    </row>
    <row r="60" spans="2:11" x14ac:dyDescent="0.2">
      <c r="B60" s="5" t="s">
        <v>172</v>
      </c>
      <c r="C60" s="5" t="str">
        <f>_xlfn.XLOOKUP($B60,'1.1 FY2016'!$G$5:$G$61,'1.1 FY2016'!B$5:B$61)</f>
        <v>Net income/(loss)</v>
      </c>
      <c r="D60" s="5">
        <f>_xlfn.XLOOKUP($B60,'1.1 FY2016'!$G$5:$G$61,'1.1 FY2016'!C$5:C$61)</f>
        <v>111101</v>
      </c>
      <c r="E60" s="5" t="str">
        <f>_xlfn.XLOOKUP($B60,'1.1 FY2016'!$G$5:$G$61,'1.1 FY2016'!D$5:D$61)</f>
        <v>Not assigned</v>
      </c>
      <c r="F60" s="24">
        <f>SUMIF('1.1 FY2016'!$G:$G,'2.1 Database'!B60,'1.1 FY2016'!$E:$E)</f>
        <v>-2904117.9939999986</v>
      </c>
      <c r="G60" s="25">
        <f>SUMIF('1.2 FY2017'!$G:$G,'2.1 Database'!B60,'1.2 FY2017'!$E:$E)</f>
        <v>0</v>
      </c>
      <c r="H60" s="25">
        <f>SUMIF('1.3 FY2018'!$G:$G,'2.1 Database'!B60,'1.3 FY2018'!$E:$E)</f>
        <v>0</v>
      </c>
      <c r="J60" s="2" t="s">
        <v>234</v>
      </c>
      <c r="K60" s="2">
        <f>COUNTIF('2.2 P&amp;L statement'!$B$4:$B$24,'2.1 Database'!J60)</f>
        <v>1</v>
      </c>
    </row>
    <row r="61" spans="2:11" x14ac:dyDescent="0.2">
      <c r="B61" s="5" t="s">
        <v>173</v>
      </c>
      <c r="C61" s="5" t="str">
        <f>_xlfn.XLOOKUP($B61,'1.2 FY2017'!$G$5:$G$86,'1.2 FY2017'!B$5:B$86)</f>
        <v>Core business revenues</v>
      </c>
      <c r="D61" s="5">
        <f>_xlfn.XLOOKUP($B61,'1.2 FY2017'!$G$5:$G$86,'1.2 FY2017'!C$5:C$86)</f>
        <v>105</v>
      </c>
      <c r="E61" s="5" t="str">
        <f>_xlfn.XLOOKUP($B61,'1.2 FY2017'!$G$5:$G$86,'1.2 FY2017'!D$5:D$86)</f>
        <v>Generco Healthcare Ltd</v>
      </c>
      <c r="F61" s="24">
        <f>-SUMIF('1.1 FY2016'!$G:$G,'2.1 Database'!B61,'1.1 FY2016'!$E:$E)</f>
        <v>0</v>
      </c>
      <c r="G61" s="25">
        <f>-SUMIF('1.2 FY2017'!$G:$G,'2.1 Database'!B61,'1.2 FY2017'!$E:$E)</f>
        <v>355396.61499999999</v>
      </c>
      <c r="H61" s="25">
        <f>-SUMIF('1.3 FY2018'!$G:$G,'2.1 Database'!B61,'1.3 FY2018'!$E:$E)</f>
        <v>616462.01899999997</v>
      </c>
      <c r="J61" s="2" t="s">
        <v>225</v>
      </c>
      <c r="K61" s="2">
        <f>COUNTIF('2.2 P&amp;L statement'!$B$4:$B$24,'2.1 Database'!J61)</f>
        <v>1</v>
      </c>
    </row>
    <row r="62" spans="2:11" x14ac:dyDescent="0.2">
      <c r="B62" s="5" t="s">
        <v>204</v>
      </c>
      <c r="C62" s="5" t="str">
        <f>_xlfn.XLOOKUP($B62,'1.2 FY2017'!$G$5:$G$86,'1.2 FY2017'!B$5:B$86)</f>
        <v>Capitalized costs</v>
      </c>
      <c r="D62" s="5" t="str">
        <f>_xlfn.XLOOKUP($B62,'1.2 FY2017'!$G$5:$G$86,'1.2 FY2017'!C$5:C$86)</f>
        <v>1086</v>
      </c>
      <c r="E62" s="5" t="str">
        <f>_xlfn.XLOOKUP($B62,'1.2 FY2017'!$G$5:$G$86,'1.2 FY2017'!D$5:D$86)</f>
        <v>G&amp;Resources Ltd</v>
      </c>
      <c r="F62" s="24">
        <f>-SUMIF('1.1 FY2016'!$G:$G,'2.1 Database'!B62,'1.1 FY2016'!$E:$E)</f>
        <v>0</v>
      </c>
      <c r="G62" s="25">
        <f>-SUMIF('1.2 FY2017'!$G:$G,'2.1 Database'!B62,'1.2 FY2017'!$E:$E)</f>
        <v>420017.14999999997</v>
      </c>
      <c r="H62" s="25">
        <f>-SUMIF('1.3 FY2018'!$G:$G,'2.1 Database'!B62,'1.3 FY2018'!$E:$E)</f>
        <v>0</v>
      </c>
      <c r="J62" s="2" t="s">
        <v>67</v>
      </c>
      <c r="K62" s="2">
        <f>COUNTIF('2.2 P&amp;L statement'!$B$4:$B$24,'2.1 Database'!J62)</f>
        <v>1</v>
      </c>
    </row>
    <row r="63" spans="2:11" x14ac:dyDescent="0.2">
      <c r="B63" s="5" t="s">
        <v>174</v>
      </c>
      <c r="C63" s="5" t="str">
        <f>_xlfn.XLOOKUP($B63,'1.2 FY2017'!$G$5:$G$86,'1.2 FY2017'!B$5:B$86)</f>
        <v>Utility charges</v>
      </c>
      <c r="D63" s="5">
        <f>_xlfn.XLOOKUP($B63,'1.2 FY2017'!$G$5:$G$86,'1.2 FY2017'!C$5:C$86)</f>
        <v>111111</v>
      </c>
      <c r="E63" s="5" t="str">
        <f>_xlfn.XLOOKUP($B63,'1.2 FY2017'!$G$5:$G$86,'1.2 FY2017'!D$5:D$86)</f>
        <v>External</v>
      </c>
      <c r="F63" s="24">
        <f>-SUMIF('1.1 FY2016'!$G:$G,'2.1 Database'!B63,'1.1 FY2016'!$E:$E)</f>
        <v>0</v>
      </c>
      <c r="G63" s="25">
        <f>-SUMIF('1.2 FY2017'!$G:$G,'2.1 Database'!B63,'1.2 FY2017'!$E:$E)</f>
        <v>-14589.33</v>
      </c>
      <c r="H63" s="25">
        <f>-SUMIF('1.3 FY2018'!$G:$G,'2.1 Database'!B63,'1.3 FY2018'!$E:$E)</f>
        <v>-20504.509999999998</v>
      </c>
      <c r="J63" s="2" t="s">
        <v>226</v>
      </c>
      <c r="K63" s="2">
        <f>COUNTIF('2.2 P&amp;L statement'!$B$4:$B$24,'2.1 Database'!J63)</f>
        <v>1</v>
      </c>
    </row>
    <row r="64" spans="2:11" x14ac:dyDescent="0.2">
      <c r="B64" s="5" t="s">
        <v>205</v>
      </c>
      <c r="C64" s="5" t="str">
        <f>_xlfn.XLOOKUP($B64,'1.2 FY2017'!$G$5:$G$86,'1.2 FY2017'!B$5:B$86)</f>
        <v>R&amp;D expenses</v>
      </c>
      <c r="D64" s="5">
        <f>_xlfn.XLOOKUP($B64,'1.2 FY2017'!$G$5:$G$86,'1.2 FY2017'!C$5:C$86)</f>
        <v>19</v>
      </c>
      <c r="E64" s="5" t="str">
        <f>_xlfn.XLOOKUP($B64,'1.2 FY2017'!$G$5:$G$86,'1.2 FY2017'!D$5:D$86)</f>
        <v>Generco Cosmetics Ltd</v>
      </c>
      <c r="F64" s="24">
        <f>-SUMIF('1.1 FY2016'!$G:$G,'2.1 Database'!B64,'1.1 FY2016'!$E:$E)</f>
        <v>0</v>
      </c>
      <c r="G64" s="25">
        <f>-SUMIF('1.2 FY2017'!$G:$G,'2.1 Database'!B64,'1.2 FY2017'!$E:$E)</f>
        <v>-38521</v>
      </c>
      <c r="H64" s="25">
        <f>-SUMIF('1.3 FY2018'!$G:$G,'2.1 Database'!B64,'1.3 FY2018'!$E:$E)</f>
        <v>0</v>
      </c>
      <c r="J64" s="2" t="s">
        <v>226</v>
      </c>
      <c r="K64" s="2">
        <f>COUNTIF('2.2 P&amp;L statement'!$B$4:$B$24,'2.1 Database'!J64)</f>
        <v>1</v>
      </c>
    </row>
    <row r="65" spans="2:11" x14ac:dyDescent="0.2">
      <c r="B65" s="5" t="s">
        <v>176</v>
      </c>
      <c r="C65" s="5" t="str">
        <f>_xlfn.XLOOKUP($B65,'1.2 FY2017'!$G$5:$G$86,'1.2 FY2017'!B$5:B$86)</f>
        <v>R&amp;D expenses</v>
      </c>
      <c r="D65" s="5" t="str">
        <f>_xlfn.XLOOKUP($B65,'1.2 FY2017'!$G$5:$G$86,'1.2 FY2017'!C$5:C$86)</f>
        <v>1283</v>
      </c>
      <c r="E65" s="5" t="str">
        <f>_xlfn.XLOOKUP($B65,'1.2 FY2017'!$G$5:$G$86,'1.2 FY2017'!D$5:D$86)</f>
        <v>Generco Ventures Ltd</v>
      </c>
      <c r="F65" s="24">
        <f>-SUMIF('1.1 FY2016'!$G:$G,'2.1 Database'!B65,'1.1 FY2016'!$E:$E)</f>
        <v>0</v>
      </c>
      <c r="G65" s="25">
        <f>-SUMIF('1.2 FY2017'!$G:$G,'2.1 Database'!B65,'1.2 FY2017'!$E:$E)</f>
        <v>-1820</v>
      </c>
      <c r="H65" s="25">
        <f>-SUMIF('1.3 FY2018'!$G:$G,'2.1 Database'!B65,'1.3 FY2018'!$E:$E)</f>
        <v>0</v>
      </c>
      <c r="J65" s="2" t="s">
        <v>226</v>
      </c>
      <c r="K65" s="2">
        <f>COUNTIF('2.2 P&amp;L statement'!$B$4:$B$24,'2.1 Database'!J65)</f>
        <v>1</v>
      </c>
    </row>
    <row r="66" spans="2:11" x14ac:dyDescent="0.2">
      <c r="B66" s="5" t="s">
        <v>177</v>
      </c>
      <c r="C66" s="5" t="str">
        <f>_xlfn.XLOOKUP($B66,'1.2 FY2017'!$G$5:$G$86,'1.2 FY2017'!B$5:B$86)</f>
        <v>R&amp;D expenses</v>
      </c>
      <c r="D66" s="5" t="str">
        <f>_xlfn.XLOOKUP($B66,'1.2 FY2017'!$G$5:$G$86,'1.2 FY2017'!C$5:C$86)</f>
        <v>1924</v>
      </c>
      <c r="E66" s="5" t="str">
        <f>_xlfn.XLOOKUP($B66,'1.2 FY2017'!$G$5:$G$86,'1.2 FY2017'!D$5:D$86)</f>
        <v>Generco Infrastructure Ltd</v>
      </c>
      <c r="F66" s="24">
        <f>-SUMIF('1.1 FY2016'!$G:$G,'2.1 Database'!B66,'1.1 FY2016'!$E:$E)</f>
        <v>0</v>
      </c>
      <c r="G66" s="25">
        <f>-SUMIF('1.2 FY2017'!$G:$G,'2.1 Database'!B66,'1.2 FY2017'!$E:$E)</f>
        <v>-10448.129999999999</v>
      </c>
      <c r="H66" s="25">
        <f>-SUMIF('1.3 FY2018'!$G:$G,'2.1 Database'!B66,'1.3 FY2018'!$E:$E)</f>
        <v>-673.34299999999985</v>
      </c>
      <c r="J66" s="2" t="s">
        <v>226</v>
      </c>
      <c r="K66" s="2">
        <f>COUNTIF('2.2 P&amp;L statement'!$B$4:$B$24,'2.1 Database'!J66)</f>
        <v>1</v>
      </c>
    </row>
    <row r="67" spans="2:11" x14ac:dyDescent="0.2">
      <c r="B67" s="5" t="s">
        <v>206</v>
      </c>
      <c r="C67" s="5" t="str">
        <f>_xlfn.XLOOKUP($B67,'1.2 FY2017'!$G$5:$G$86,'1.2 FY2017'!B$5:B$86)</f>
        <v>R&amp;D expenses</v>
      </c>
      <c r="D67" s="5" t="str">
        <f>_xlfn.XLOOKUP($B67,'1.2 FY2017'!$G$5:$G$86,'1.2 FY2017'!C$5:C$86)</f>
        <v>2486</v>
      </c>
      <c r="E67" s="5" t="str">
        <f>_xlfn.XLOOKUP($B67,'1.2 FY2017'!$G$5:$G$86,'1.2 FY2017'!D$5:D$86)</f>
        <v>Generco Exloration Ltd</v>
      </c>
      <c r="F67" s="24">
        <f>-SUMIF('1.1 FY2016'!$G:$G,'2.1 Database'!B67,'1.1 FY2016'!$E:$E)</f>
        <v>0</v>
      </c>
      <c r="G67" s="25">
        <f>-SUMIF('1.2 FY2017'!$G:$G,'2.1 Database'!B67,'1.2 FY2017'!$E:$E)</f>
        <v>-10412.5</v>
      </c>
      <c r="H67" s="25">
        <f>-SUMIF('1.3 FY2018'!$G:$G,'2.1 Database'!B67,'1.3 FY2018'!$E:$E)</f>
        <v>0</v>
      </c>
      <c r="J67" s="2" t="s">
        <v>226</v>
      </c>
      <c r="K67" s="2">
        <f>COUNTIF('2.2 P&amp;L statement'!$B$4:$B$24,'2.1 Database'!J67)</f>
        <v>1</v>
      </c>
    </row>
    <row r="68" spans="2:11" x14ac:dyDescent="0.2">
      <c r="B68" s="5" t="s">
        <v>207</v>
      </c>
      <c r="C68" s="5" t="str">
        <f>_xlfn.XLOOKUP($B68,'1.2 FY2017'!$G$5:$G$86,'1.2 FY2017'!B$5:B$86)</f>
        <v>Other personnel expenses</v>
      </c>
      <c r="D68" s="5">
        <f>_xlfn.XLOOKUP($B68,'1.2 FY2017'!$G$5:$G$86,'1.2 FY2017'!C$5:C$86)</f>
        <v>111101</v>
      </c>
      <c r="E68" s="5" t="str">
        <f>_xlfn.XLOOKUP($B68,'1.2 FY2017'!$G$5:$G$86,'1.2 FY2017'!D$5:D$86)</f>
        <v>Not assigned</v>
      </c>
      <c r="F68" s="24">
        <f>-SUMIF('1.1 FY2016'!$G:$G,'2.1 Database'!B68,'1.1 FY2016'!$E:$E)</f>
        <v>0</v>
      </c>
      <c r="G68" s="25">
        <f>-SUMIF('1.2 FY2017'!$G:$G,'2.1 Database'!B68,'1.2 FY2017'!$E:$E)</f>
        <v>-6919.8499999999995</v>
      </c>
      <c r="H68" s="25">
        <f>-SUMIF('1.3 FY2018'!$G:$G,'2.1 Database'!B68,'1.3 FY2018'!$E:$E)</f>
        <v>0</v>
      </c>
      <c r="J68" s="2" t="s">
        <v>227</v>
      </c>
      <c r="K68" s="2">
        <f>COUNTIF('2.2 P&amp;L statement'!$B$4:$B$24,'2.1 Database'!J68)</f>
        <v>1</v>
      </c>
    </row>
    <row r="69" spans="2:11" x14ac:dyDescent="0.2">
      <c r="B69" s="5" t="s">
        <v>181</v>
      </c>
      <c r="C69" s="5" t="str">
        <f>_xlfn.XLOOKUP($B69,'1.2 FY2017'!$G$5:$G$86,'1.2 FY2017'!B$5:B$86)</f>
        <v>D&amp;A</v>
      </c>
      <c r="D69" s="5">
        <f>_xlfn.XLOOKUP($B69,'1.2 FY2017'!$G$5:$G$86,'1.2 FY2017'!C$5:C$86)</f>
        <v>111101</v>
      </c>
      <c r="E69" s="5" t="str">
        <f>_xlfn.XLOOKUP($B69,'1.2 FY2017'!$G$5:$G$86,'1.2 FY2017'!D$5:D$86)</f>
        <v>Not assigned</v>
      </c>
      <c r="F69" s="24">
        <f>-SUMIF('1.1 FY2016'!$G:$G,'2.1 Database'!B69,'1.1 FY2016'!$E:$E)</f>
        <v>0</v>
      </c>
      <c r="G69" s="25">
        <f>-SUMIF('1.2 FY2017'!$G:$G,'2.1 Database'!B69,'1.2 FY2017'!$E:$E)</f>
        <v>-146328.94499999998</v>
      </c>
      <c r="H69" s="25">
        <f>-SUMIF('1.3 FY2018'!$G:$G,'2.1 Database'!B69,'1.3 FY2018'!$E:$E)</f>
        <v>-12593.355</v>
      </c>
      <c r="J69" s="2" t="s">
        <v>72</v>
      </c>
      <c r="K69" s="2">
        <f>COUNTIF('2.2 P&amp;L statement'!$B$4:$B$24,'2.1 Database'!J69)</f>
        <v>1</v>
      </c>
    </row>
    <row r="70" spans="2:11" x14ac:dyDescent="0.2">
      <c r="B70" s="5" t="s">
        <v>208</v>
      </c>
      <c r="C70" s="5" t="str">
        <f>_xlfn.XLOOKUP($B70,'1.2 FY2017'!$G$5:$G$86,'1.2 FY2017'!B$5:B$86)</f>
        <v>Gains from disposal of PP&amp;E</v>
      </c>
      <c r="D70" s="5">
        <f>_xlfn.XLOOKUP($B70,'1.2 FY2017'!$G$5:$G$86,'1.2 FY2017'!C$5:C$86)</f>
        <v>111111</v>
      </c>
      <c r="E70" s="5" t="str">
        <f>_xlfn.XLOOKUP($B70,'1.2 FY2017'!$G$5:$G$86,'1.2 FY2017'!D$5:D$86)</f>
        <v>External</v>
      </c>
      <c r="F70" s="24">
        <f>-SUMIF('1.1 FY2016'!$G:$G,'2.1 Database'!B70,'1.1 FY2016'!$E:$E)</f>
        <v>0</v>
      </c>
      <c r="G70" s="25">
        <f>-SUMIF('1.2 FY2017'!$G:$G,'2.1 Database'!B70,'1.2 FY2017'!$E:$E)</f>
        <v>121553.07499999998</v>
      </c>
      <c r="H70" s="25">
        <f>-SUMIF('1.3 FY2018'!$G:$G,'2.1 Database'!B70,'1.3 FY2018'!$E:$E)</f>
        <v>0</v>
      </c>
      <c r="J70" s="2" t="s">
        <v>232</v>
      </c>
      <c r="K70" s="2">
        <f>COUNTIF('2.2 P&amp;L statement'!$B$4:$B$24,'2.1 Database'!J70)</f>
        <v>1</v>
      </c>
    </row>
    <row r="71" spans="2:11" x14ac:dyDescent="0.2">
      <c r="B71" s="5" t="s">
        <v>184</v>
      </c>
      <c r="C71" s="5" t="str">
        <f>_xlfn.XLOOKUP($B71,'1.2 FY2017'!$G$5:$G$86,'1.2 FY2017'!B$5:B$86)</f>
        <v>Corporate recharges</v>
      </c>
      <c r="D71" s="5">
        <f>_xlfn.XLOOKUP($B71,'1.2 FY2017'!$G$5:$G$86,'1.2 FY2017'!C$5:C$86)</f>
        <v>19</v>
      </c>
      <c r="E71" s="5" t="str">
        <f>_xlfn.XLOOKUP($B71,'1.2 FY2017'!$G$5:$G$86,'1.2 FY2017'!D$5:D$86)</f>
        <v>Generco Cosmetics Ltd</v>
      </c>
      <c r="F71" s="24">
        <f>-SUMIF('1.1 FY2016'!$G:$G,'2.1 Database'!B71,'1.1 FY2016'!$E:$E)</f>
        <v>0</v>
      </c>
      <c r="G71" s="25">
        <f>-SUMIF('1.2 FY2017'!$G:$G,'2.1 Database'!B71,'1.2 FY2017'!$E:$E)</f>
        <v>416278.66</v>
      </c>
      <c r="H71" s="25">
        <f>-SUMIF('1.3 FY2018'!$G:$G,'2.1 Database'!B71,'1.3 FY2018'!$E:$E)</f>
        <v>622966.38600000006</v>
      </c>
      <c r="J71" s="2" t="s">
        <v>228</v>
      </c>
      <c r="K71" s="2">
        <f>COUNTIF('2.2 P&amp;L statement'!$B$4:$B$24,'2.1 Database'!J71)</f>
        <v>1</v>
      </c>
    </row>
    <row r="72" spans="2:11" x14ac:dyDescent="0.2">
      <c r="B72" s="5" t="s">
        <v>185</v>
      </c>
      <c r="C72" s="5" t="str">
        <f>_xlfn.XLOOKUP($B72,'1.2 FY2017'!$G$5:$G$86,'1.2 FY2017'!B$5:B$86)</f>
        <v>Corporate recharges</v>
      </c>
      <c r="D72" s="5" t="str">
        <f>_xlfn.XLOOKUP($B72,'1.2 FY2017'!$G$5:$G$86,'1.2 FY2017'!C$5:C$86)</f>
        <v>1076</v>
      </c>
      <c r="E72" s="5" t="str">
        <f>_xlfn.XLOOKUP($B72,'1.2 FY2017'!$G$5:$G$86,'1.2 FY2017'!D$5:D$86)</f>
        <v>Generco Trading Ltd</v>
      </c>
      <c r="F72" s="24">
        <f>-SUMIF('1.1 FY2016'!$G:$G,'2.1 Database'!B72,'1.1 FY2016'!$E:$E)</f>
        <v>0</v>
      </c>
      <c r="G72" s="25">
        <f>-SUMIF('1.2 FY2017'!$G:$G,'2.1 Database'!B72,'1.2 FY2017'!$E:$E)</f>
        <v>364243.84499999997</v>
      </c>
      <c r="H72" s="25">
        <f>-SUMIF('1.3 FY2018'!$G:$G,'2.1 Database'!B72,'1.3 FY2018'!$E:$E)</f>
        <v>0</v>
      </c>
      <c r="J72" s="2" t="s">
        <v>228</v>
      </c>
      <c r="K72" s="2">
        <f>COUNTIF('2.2 P&amp;L statement'!$B$4:$B$24,'2.1 Database'!J72)</f>
        <v>1</v>
      </c>
    </row>
    <row r="73" spans="2:11" x14ac:dyDescent="0.2">
      <c r="B73" s="5" t="s">
        <v>186</v>
      </c>
      <c r="C73" s="5" t="str">
        <f>_xlfn.XLOOKUP($B73,'1.2 FY2017'!$G$5:$G$86,'1.2 FY2017'!B$5:B$86)</f>
        <v>Corporate recharges</v>
      </c>
      <c r="D73" s="5" t="str">
        <f>_xlfn.XLOOKUP($B73,'1.2 FY2017'!$G$5:$G$86,'1.2 FY2017'!C$5:C$86)</f>
        <v>1086</v>
      </c>
      <c r="E73" s="5" t="str">
        <f>_xlfn.XLOOKUP($B73,'1.2 FY2017'!$G$5:$G$86,'1.2 FY2017'!D$5:D$86)</f>
        <v>G&amp;Resources Ltd</v>
      </c>
      <c r="F73" s="24">
        <f>-SUMIF('1.1 FY2016'!$G:$G,'2.1 Database'!B73,'1.1 FY2016'!$E:$E)</f>
        <v>0</v>
      </c>
      <c r="G73" s="25">
        <f>-SUMIF('1.2 FY2017'!$G:$G,'2.1 Database'!B73,'1.2 FY2017'!$E:$E)</f>
        <v>0</v>
      </c>
      <c r="H73" s="25">
        <f>-SUMIF('1.3 FY2018'!$G:$G,'2.1 Database'!B73,'1.3 FY2018'!$E:$E)</f>
        <v>0</v>
      </c>
      <c r="J73" s="2" t="s">
        <v>228</v>
      </c>
      <c r="K73" s="2">
        <f>COUNTIF('2.2 P&amp;L statement'!$B$4:$B$24,'2.1 Database'!J73)</f>
        <v>1</v>
      </c>
    </row>
    <row r="74" spans="2:11" x14ac:dyDescent="0.2">
      <c r="B74" s="5" t="s">
        <v>188</v>
      </c>
      <c r="C74" s="5" t="str">
        <f>_xlfn.XLOOKUP($B74,'1.2 FY2017'!$G$5:$G$86,'1.2 FY2017'!B$5:B$86)</f>
        <v>Corporate recharges</v>
      </c>
      <c r="D74" s="5" t="str">
        <f>_xlfn.XLOOKUP($B74,'1.2 FY2017'!$G$5:$G$86,'1.2 FY2017'!C$5:C$86)</f>
        <v>47037</v>
      </c>
      <c r="E74" s="5" t="str">
        <f>_xlfn.XLOOKUP($B74,'1.2 FY2017'!$G$5:$G$86,'1.2 FY2017'!D$5:D$86)</f>
        <v>G&amp;CR Global Ltd</v>
      </c>
      <c r="F74" s="24">
        <f>-SUMIF('1.1 FY2016'!$G:$G,'2.1 Database'!B74,'1.1 FY2016'!$E:$E)</f>
        <v>0</v>
      </c>
      <c r="G74" s="25">
        <f>-SUMIF('1.2 FY2017'!$G:$G,'2.1 Database'!B74,'1.2 FY2017'!$E:$E)</f>
        <v>482611.04499999998</v>
      </c>
      <c r="H74" s="25">
        <f>-SUMIF('1.3 FY2018'!$G:$G,'2.1 Database'!B74,'1.3 FY2018'!$E:$E)</f>
        <v>1948832.1429999999</v>
      </c>
      <c r="J74" s="2" t="s">
        <v>228</v>
      </c>
      <c r="K74" s="2">
        <f>COUNTIF('2.2 P&amp;L statement'!$B$4:$B$24,'2.1 Database'!J74)</f>
        <v>1</v>
      </c>
    </row>
    <row r="75" spans="2:11" x14ac:dyDescent="0.2">
      <c r="B75" s="5" t="s">
        <v>209</v>
      </c>
      <c r="C75" s="5" t="str">
        <f>_xlfn.XLOOKUP($B75,'1.2 FY2017'!$G$5:$G$86,'1.2 FY2017'!B$5:B$86)</f>
        <v>Other income</v>
      </c>
      <c r="D75" s="5">
        <f>_xlfn.XLOOKUP($B75,'1.2 FY2017'!$G$5:$G$86,'1.2 FY2017'!C$5:C$86)</f>
        <v>88</v>
      </c>
      <c r="E75" s="5" t="str">
        <f>_xlfn.XLOOKUP($B75,'1.2 FY2017'!$G$5:$G$86,'1.2 FY2017'!D$5:D$86)</f>
        <v>Generco Ltd</v>
      </c>
      <c r="F75" s="24">
        <f>-SUMIF('1.1 FY2016'!$G:$G,'2.1 Database'!B75,'1.1 FY2016'!$E:$E)</f>
        <v>0</v>
      </c>
      <c r="G75" s="25">
        <f>-SUMIF('1.2 FY2017'!$G:$G,'2.1 Database'!B75,'1.2 FY2017'!$E:$E)</f>
        <v>2436.35</v>
      </c>
      <c r="H75" s="25">
        <f>-SUMIF('1.3 FY2018'!$G:$G,'2.1 Database'!B75,'1.3 FY2018'!$E:$E)</f>
        <v>0</v>
      </c>
      <c r="J75" s="2" t="s">
        <v>74</v>
      </c>
      <c r="K75" s="2">
        <f>COUNTIF('2.2 P&amp;L statement'!$B$4:$B$24,'2.1 Database'!J75)</f>
        <v>1</v>
      </c>
    </row>
    <row r="76" spans="2:11" x14ac:dyDescent="0.2">
      <c r="B76" s="5" t="s">
        <v>210</v>
      </c>
      <c r="C76" s="5" t="str">
        <f>_xlfn.XLOOKUP($B76,'1.2 FY2017'!$G$5:$G$86,'1.2 FY2017'!B$5:B$86)</f>
        <v>Concession fees other</v>
      </c>
      <c r="D76" s="5">
        <f>_xlfn.XLOOKUP($B76,'1.2 FY2017'!$G$5:$G$86,'1.2 FY2017'!C$5:C$86)</f>
        <v>111101</v>
      </c>
      <c r="E76" s="5" t="str">
        <f>_xlfn.XLOOKUP($B76,'1.2 FY2017'!$G$5:$G$86,'1.2 FY2017'!D$5:D$86)</f>
        <v>Not assigned</v>
      </c>
      <c r="F76" s="24">
        <f>-SUMIF('1.1 FY2016'!$G:$G,'2.1 Database'!B76,'1.1 FY2016'!$E:$E)</f>
        <v>0</v>
      </c>
      <c r="G76" s="25">
        <f>-SUMIF('1.2 FY2017'!$G:$G,'2.1 Database'!B76,'1.2 FY2017'!$E:$E)</f>
        <v>-81.339999999999989</v>
      </c>
      <c r="H76" s="25">
        <f>-SUMIF('1.3 FY2018'!$G:$G,'2.1 Database'!B76,'1.3 FY2018'!$E:$E)</f>
        <v>0</v>
      </c>
      <c r="J76" s="2" t="s">
        <v>226</v>
      </c>
      <c r="K76" s="2">
        <f>COUNTIF('2.2 P&amp;L statement'!$B$4:$B$24,'2.1 Database'!J76)</f>
        <v>1</v>
      </c>
    </row>
    <row r="77" spans="2:11" x14ac:dyDescent="0.2">
      <c r="B77" s="5" t="s">
        <v>192</v>
      </c>
      <c r="C77" s="5" t="str">
        <f>_xlfn.XLOOKUP($B77,'1.2 FY2017'!$G$5:$G$86,'1.2 FY2017'!B$5:B$86)</f>
        <v>Service expenses</v>
      </c>
      <c r="D77" s="5">
        <f>_xlfn.XLOOKUP($B77,'1.2 FY2017'!$G$5:$G$86,'1.2 FY2017'!C$5:C$86)</f>
        <v>105</v>
      </c>
      <c r="E77" s="5" t="str">
        <f>_xlfn.XLOOKUP($B77,'1.2 FY2017'!$G$5:$G$86,'1.2 FY2017'!D$5:D$86)</f>
        <v>Generco Healthcare Ltd</v>
      </c>
      <c r="F77" s="24">
        <f>-SUMIF('1.1 FY2016'!$G:$G,'2.1 Database'!B77,'1.1 FY2016'!$E:$E)</f>
        <v>0</v>
      </c>
      <c r="G77" s="25">
        <f>-SUMIF('1.2 FY2017'!$G:$G,'2.1 Database'!B77,'1.2 FY2017'!$E:$E)</f>
        <v>-276920</v>
      </c>
      <c r="H77" s="25">
        <f>-SUMIF('1.3 FY2018'!$G:$G,'2.1 Database'!B77,'1.3 FY2018'!$E:$E)</f>
        <v>-473575.46100000001</v>
      </c>
      <c r="J77" s="2" t="s">
        <v>229</v>
      </c>
      <c r="K77" s="2">
        <f>COUNTIF('2.2 P&amp;L statement'!$B$4:$B$24,'2.1 Database'!J77)</f>
        <v>1</v>
      </c>
    </row>
    <row r="78" spans="2:11" ht="14.4" x14ac:dyDescent="0.3">
      <c r="B78" s="5" t="s">
        <v>211</v>
      </c>
      <c r="C78" s="5" t="str">
        <f>_xlfn.XLOOKUP($B78,'1.2 FY2017'!$G$5:$G$86,'1.2 FY2017'!B$5:B$86)</f>
        <v>Insurance expenses</v>
      </c>
      <c r="D78" s="5">
        <f>_xlfn.XLOOKUP($B78,'1.2 FY2017'!$G$5:$G$86,'1.2 FY2017'!C$5:C$86)</f>
        <v>1900</v>
      </c>
      <c r="E78" s="5" t="str">
        <f>_xlfn.XLOOKUP($B78,'1.2 FY2017'!$G$5:$G$86,'1.2 FY2017'!D$5:D$86)</f>
        <v>Generco Metals Gm</v>
      </c>
      <c r="F78" s="24">
        <f>-SUMIF('1.1 FY2016'!$G:$G,'2.1 Database'!B78,'1.1 FY2016'!$E:$E)</f>
        <v>0</v>
      </c>
      <c r="G78" s="25">
        <f>-SUMIF('1.2 FY2017'!$G:$G,'2.1 Database'!B78,'1.2 FY2017'!$E:$E)</f>
        <v>0</v>
      </c>
      <c r="H78" s="25">
        <f>-SUMIF('1.3 FY2018'!$G:$G,'2.1 Database'!B78,'1.3 FY2018'!$E:$E)</f>
        <v>0</v>
      </c>
      <c r="K78">
        <f>COUNTIF('2.2 P&amp;L statement'!$B$4:$B$24,'2.1 Database'!J78)</f>
        <v>0</v>
      </c>
    </row>
    <row r="79" spans="2:11" x14ac:dyDescent="0.2">
      <c r="B79" s="5" t="s">
        <v>212</v>
      </c>
      <c r="C79" s="5" t="str">
        <f>_xlfn.XLOOKUP($B79,'1.2 FY2017'!$G$5:$G$86,'1.2 FY2017'!B$5:B$86)</f>
        <v>Travel expenses</v>
      </c>
      <c r="D79" s="5" t="str">
        <f>_xlfn.XLOOKUP($B79,'1.2 FY2017'!$G$5:$G$86,'1.2 FY2017'!C$5:C$86)</f>
        <v>1118</v>
      </c>
      <c r="E79" s="5" t="str">
        <f>_xlfn.XLOOKUP($B79,'1.2 FY2017'!$G$5:$G$86,'1.2 FY2017'!D$5:D$86)</f>
        <v>Gener Green LLC</v>
      </c>
      <c r="F79" s="24">
        <f>-SUMIF('1.1 FY2016'!$G:$G,'2.1 Database'!B79,'1.1 FY2016'!$E:$E)</f>
        <v>0</v>
      </c>
      <c r="G79" s="25">
        <f>-SUMIF('1.2 FY2017'!$G:$G,'2.1 Database'!B79,'1.2 FY2017'!$E:$E)</f>
        <v>-23928.799999999999</v>
      </c>
      <c r="H79" s="25">
        <f>-SUMIF('1.3 FY2018'!$G:$G,'2.1 Database'!B79,'1.3 FY2018'!$E:$E)</f>
        <v>0</v>
      </c>
      <c r="J79" s="2" t="s">
        <v>231</v>
      </c>
      <c r="K79" s="2">
        <f>COUNTIF('2.2 P&amp;L statement'!$B$4:$B$24,'2.1 Database'!J79)</f>
        <v>1</v>
      </c>
    </row>
    <row r="80" spans="2:11" x14ac:dyDescent="0.2">
      <c r="B80" s="5" t="s">
        <v>213</v>
      </c>
      <c r="C80" s="5" t="str">
        <f>_xlfn.XLOOKUP($B80,'1.2 FY2017'!$G$5:$G$86,'1.2 FY2017'!B$5:B$86)</f>
        <v>Losses fr disposal of PPE</v>
      </c>
      <c r="D80" s="5">
        <f>_xlfn.XLOOKUP($B80,'1.2 FY2017'!$G$5:$G$86,'1.2 FY2017'!C$5:C$86)</f>
        <v>111111</v>
      </c>
      <c r="E80" s="5" t="str">
        <f>_xlfn.XLOOKUP($B80,'1.2 FY2017'!$G$5:$G$86,'1.2 FY2017'!D$5:D$86)</f>
        <v>External</v>
      </c>
      <c r="F80" s="24">
        <f>-SUMIF('1.1 FY2016'!$G:$G,'2.1 Database'!B80,'1.1 FY2016'!$E:$E)</f>
        <v>0</v>
      </c>
      <c r="G80" s="25">
        <f>-SUMIF('1.2 FY2017'!$G:$G,'2.1 Database'!B80,'1.2 FY2017'!$E:$E)</f>
        <v>-308232</v>
      </c>
      <c r="H80" s="25">
        <f>-SUMIF('1.3 FY2018'!$G:$G,'2.1 Database'!B80,'1.3 FY2018'!$E:$E)</f>
        <v>0</v>
      </c>
      <c r="J80" s="2" t="s">
        <v>232</v>
      </c>
      <c r="K80" s="2">
        <f>COUNTIF('2.2 P&amp;L statement'!$B$4:$B$24,'2.1 Database'!J80)</f>
        <v>1</v>
      </c>
    </row>
    <row r="81" spans="2:11" x14ac:dyDescent="0.2">
      <c r="B81" s="5" t="s">
        <v>214</v>
      </c>
      <c r="C81" s="5" t="str">
        <f>_xlfn.XLOOKUP($B81,'1.2 FY2017'!$G$5:$G$86,'1.2 FY2017'!B$5:B$86)</f>
        <v>Other operative currency differences</v>
      </c>
      <c r="D81" s="5">
        <f>_xlfn.XLOOKUP($B81,'1.2 FY2017'!$G$5:$G$86,'1.2 FY2017'!C$5:C$86)</f>
        <v>19</v>
      </c>
      <c r="E81" s="5" t="str">
        <f>_xlfn.XLOOKUP($B81,'1.2 FY2017'!$G$5:$G$86,'1.2 FY2017'!D$5:D$86)</f>
        <v>Generco Cosmetics Ltd</v>
      </c>
      <c r="F81" s="24">
        <f>-SUMIF('1.1 FY2016'!$G:$G,'2.1 Database'!B81,'1.1 FY2016'!$E:$E)</f>
        <v>0</v>
      </c>
      <c r="G81" s="25">
        <f>-SUMIF('1.2 FY2017'!$G:$G,'2.1 Database'!B81,'1.2 FY2017'!$E:$E)</f>
        <v>-13422.779999999999</v>
      </c>
      <c r="H81" s="25">
        <f>-SUMIF('1.3 FY2018'!$G:$G,'2.1 Database'!B81,'1.3 FY2018'!$E:$E)</f>
        <v>0</v>
      </c>
      <c r="J81" s="2" t="s">
        <v>226</v>
      </c>
      <c r="K81" s="2">
        <f>COUNTIF('2.2 P&amp;L statement'!$B$4:$B$24,'2.1 Database'!J81)</f>
        <v>1</v>
      </c>
    </row>
    <row r="82" spans="2:11" x14ac:dyDescent="0.2">
      <c r="B82" s="5" t="s">
        <v>215</v>
      </c>
      <c r="C82" s="5" t="str">
        <f>_xlfn.XLOOKUP($B82,'1.2 FY2017'!$G$5:$G$86,'1.2 FY2017'!B$5:B$86)</f>
        <v>Other operative currency differences</v>
      </c>
      <c r="D82" s="5">
        <f>_xlfn.XLOOKUP($B82,'1.2 FY2017'!$G$5:$G$86,'1.2 FY2017'!C$5:C$86)</f>
        <v>111111</v>
      </c>
      <c r="E82" s="5" t="str">
        <f>_xlfn.XLOOKUP($B82,'1.2 FY2017'!$G$5:$G$86,'1.2 FY2017'!D$5:D$86)</f>
        <v>External</v>
      </c>
      <c r="F82" s="24">
        <f>-SUMIF('1.1 FY2016'!$G:$G,'2.1 Database'!B82,'1.1 FY2016'!$E:$E)</f>
        <v>0</v>
      </c>
      <c r="G82" s="25">
        <f>-SUMIF('1.2 FY2017'!$G:$G,'2.1 Database'!B82,'1.2 FY2017'!$E:$E)</f>
        <v>-4045.6150000000002</v>
      </c>
      <c r="H82" s="25">
        <f>-SUMIF('1.3 FY2018'!$G:$G,'2.1 Database'!B82,'1.3 FY2018'!$E:$E)</f>
        <v>0</v>
      </c>
      <c r="J82" s="2" t="s">
        <v>226</v>
      </c>
      <c r="K82" s="2">
        <f>COUNTIF('2.2 P&amp;L statement'!$B$4:$B$24,'2.1 Database'!J82)</f>
        <v>1</v>
      </c>
    </row>
    <row r="83" spans="2:11" x14ac:dyDescent="0.2">
      <c r="B83" s="5" t="s">
        <v>216</v>
      </c>
      <c r="C83" s="5" t="str">
        <f>_xlfn.XLOOKUP($B83,'1.2 FY2017'!$G$5:$G$86,'1.2 FY2017'!B$5:B$86)</f>
        <v>Property tax</v>
      </c>
      <c r="D83" s="5">
        <f>_xlfn.XLOOKUP($B83,'1.2 FY2017'!$G$5:$G$86,'1.2 FY2017'!C$5:C$86)</f>
        <v>111111</v>
      </c>
      <c r="E83" s="5" t="str">
        <f>_xlfn.XLOOKUP($B83,'1.2 FY2017'!$G$5:$G$86,'1.2 FY2017'!D$5:D$86)</f>
        <v>External</v>
      </c>
      <c r="F83" s="24">
        <f>-SUMIF('1.1 FY2016'!$G:$G,'2.1 Database'!B83,'1.1 FY2016'!$E:$E)</f>
        <v>0</v>
      </c>
      <c r="G83" s="25">
        <f>-SUMIF('1.2 FY2017'!$G:$G,'2.1 Database'!B83,'1.2 FY2017'!$E:$E)</f>
        <v>-49621.144999999997</v>
      </c>
      <c r="H83" s="25">
        <f>-SUMIF('1.3 FY2018'!$G:$G,'2.1 Database'!B83,'1.3 FY2018'!$E:$E)</f>
        <v>0</v>
      </c>
      <c r="J83" s="2" t="s">
        <v>226</v>
      </c>
      <c r="K83" s="2">
        <f>COUNTIF('2.2 P&amp;L statement'!$B$4:$B$24,'2.1 Database'!J83)</f>
        <v>1</v>
      </c>
    </row>
    <row r="84" spans="2:11" x14ac:dyDescent="0.2">
      <c r="B84" s="5" t="s">
        <v>217</v>
      </c>
      <c r="C84" s="5" t="str">
        <f>_xlfn.XLOOKUP($B84,'1.2 FY2017'!$G$5:$G$86,'1.2 FY2017'!B$5:B$86)</f>
        <v>Misc extraordinary expenses</v>
      </c>
      <c r="D84" s="5">
        <f>_xlfn.XLOOKUP($B84,'1.2 FY2017'!$G$5:$G$86,'1.2 FY2017'!C$5:C$86)</f>
        <v>19</v>
      </c>
      <c r="E84" s="5" t="str">
        <f>_xlfn.XLOOKUP($B84,'1.2 FY2017'!$G$5:$G$86,'1.2 FY2017'!D$5:D$86)</f>
        <v>Generco Cosmetics Ltd</v>
      </c>
      <c r="F84" s="24">
        <f>-SUMIF('1.1 FY2016'!$G:$G,'2.1 Database'!B84,'1.1 FY2016'!$E:$E)</f>
        <v>0</v>
      </c>
      <c r="G84" s="25">
        <f>-SUMIF('1.2 FY2017'!$G:$G,'2.1 Database'!B84,'1.2 FY2017'!$E:$E)</f>
        <v>-85462.684999999998</v>
      </c>
      <c r="H84" s="25">
        <f>-SUMIF('1.3 FY2018'!$G:$G,'2.1 Database'!B84,'1.3 FY2018'!$E:$E)</f>
        <v>0</v>
      </c>
      <c r="J84" s="2" t="s">
        <v>232</v>
      </c>
      <c r="K84" s="2">
        <f>COUNTIF('2.2 P&amp;L statement'!$B$4:$B$24,'2.1 Database'!J84)</f>
        <v>1</v>
      </c>
    </row>
    <row r="85" spans="2:11" x14ac:dyDescent="0.2">
      <c r="B85" s="5" t="s">
        <v>218</v>
      </c>
      <c r="C85" s="5" t="str">
        <f>_xlfn.XLOOKUP($B85,'1.2 FY2017'!$G$5:$G$86,'1.2 FY2017'!B$5:B$86)</f>
        <v>Misc extraordinary expenses</v>
      </c>
      <c r="D85" s="5" t="str">
        <f>_xlfn.XLOOKUP($B85,'1.2 FY2017'!$G$5:$G$86,'1.2 FY2017'!C$5:C$86)</f>
        <v>43</v>
      </c>
      <c r="E85" s="5" t="str">
        <f>_xlfn.XLOOKUP($B85,'1.2 FY2017'!$G$5:$G$86,'1.2 FY2017'!D$5:D$86)</f>
        <v>Greeny France SL</v>
      </c>
      <c r="F85" s="24">
        <f>-SUMIF('1.1 FY2016'!$G:$G,'2.1 Database'!B85,'1.1 FY2016'!$E:$E)</f>
        <v>0</v>
      </c>
      <c r="G85" s="25">
        <f>-SUMIF('1.2 FY2017'!$G:$G,'2.1 Database'!B85,'1.2 FY2017'!$E:$E)</f>
        <v>-11422.144999999999</v>
      </c>
      <c r="H85" s="25">
        <f>-SUMIF('1.3 FY2018'!$G:$G,'2.1 Database'!B85,'1.3 FY2018'!$E:$E)</f>
        <v>0</v>
      </c>
      <c r="J85" s="2" t="s">
        <v>232</v>
      </c>
      <c r="K85" s="2">
        <f>COUNTIF('2.2 P&amp;L statement'!$B$4:$B$24,'2.1 Database'!J85)</f>
        <v>1</v>
      </c>
    </row>
    <row r="86" spans="2:11" x14ac:dyDescent="0.2">
      <c r="B86" s="5" t="s">
        <v>195</v>
      </c>
      <c r="C86" s="5" t="str">
        <f>_xlfn.XLOOKUP($B86,'1.2 FY2017'!$G$5:$G$86,'1.2 FY2017'!B$5:B$86)</f>
        <v>Misc extraordinary expenses</v>
      </c>
      <c r="D86" s="5" t="str">
        <f>_xlfn.XLOOKUP($B86,'1.2 FY2017'!$G$5:$G$86,'1.2 FY2017'!C$5:C$86)</f>
        <v>1924</v>
      </c>
      <c r="E86" s="5" t="str">
        <f>_xlfn.XLOOKUP($B86,'1.2 FY2017'!$G$5:$G$86,'1.2 FY2017'!D$5:D$86)</f>
        <v>Generco Infrastructure Ltd</v>
      </c>
      <c r="F86" s="24">
        <f>-SUMIF('1.1 FY2016'!$G:$G,'2.1 Database'!B86,'1.1 FY2016'!$E:$E)</f>
        <v>0</v>
      </c>
      <c r="G86" s="25">
        <f>-SUMIF('1.2 FY2017'!$G:$G,'2.1 Database'!B86,'1.2 FY2017'!$E:$E)</f>
        <v>-84438.864999999991</v>
      </c>
      <c r="H86" s="25">
        <f>-SUMIF('1.3 FY2018'!$G:$G,'2.1 Database'!B86,'1.3 FY2018'!$E:$E)</f>
        <v>0</v>
      </c>
      <c r="J86" s="2" t="s">
        <v>232</v>
      </c>
      <c r="K86" s="2">
        <f>COUNTIF('2.2 P&amp;L statement'!$B$4:$B$24,'2.1 Database'!J86)</f>
        <v>1</v>
      </c>
    </row>
    <row r="87" spans="2:11" ht="14.4" x14ac:dyDescent="0.3">
      <c r="B87" s="5" t="s">
        <v>196</v>
      </c>
      <c r="C87" s="5" t="str">
        <f>_xlfn.XLOOKUP($B87,'1.2 FY2017'!$G$5:$G$86,'1.2 FY2017'!B$5:B$86)</f>
        <v>Difference from eliminations</v>
      </c>
      <c r="D87" s="5" t="str">
        <f>_xlfn.XLOOKUP($B87,'1.2 FY2017'!$G$5:$G$86,'1.2 FY2017'!C$5:C$86)</f>
        <v>1086</v>
      </c>
      <c r="E87" s="5" t="str">
        <f>_xlfn.XLOOKUP($B87,'1.2 FY2017'!$G$5:$G$86,'1.2 FY2017'!D$5:D$86)</f>
        <v>G&amp;Resources Ltd</v>
      </c>
      <c r="F87" s="24">
        <f>-SUMIF('1.1 FY2016'!$G:$G,'2.1 Database'!B87,'1.1 FY2016'!$E:$E)</f>
        <v>0</v>
      </c>
      <c r="G87" s="25">
        <f>-SUMIF('1.2 FY2017'!$G:$G,'2.1 Database'!B87,'1.2 FY2017'!$E:$E)</f>
        <v>0</v>
      </c>
      <c r="H87" s="25">
        <f>-SUMIF('1.3 FY2018'!$G:$G,'2.1 Database'!B87,'1.3 FY2018'!$E:$E)</f>
        <v>0</v>
      </c>
      <c r="K87">
        <f>COUNTIF('2.2 P&amp;L statement'!$B$4:$B$24,'2.1 Database'!J87)</f>
        <v>0</v>
      </c>
    </row>
    <row r="88" spans="2:11" x14ac:dyDescent="0.2">
      <c r="B88" s="5" t="s">
        <v>197</v>
      </c>
      <c r="C88" s="5" t="str">
        <f>_xlfn.XLOOKUP($B88,'1.2 FY2017'!$G$5:$G$86,'1.2 FY2017'!B$5:B$86)</f>
        <v>Interest income</v>
      </c>
      <c r="D88" s="5" t="str">
        <f>_xlfn.XLOOKUP($B88,'1.2 FY2017'!$G$5:$G$86,'1.2 FY2017'!C$5:C$86)</f>
        <v>1086</v>
      </c>
      <c r="E88" s="5" t="str">
        <f>_xlfn.XLOOKUP($B88,'1.2 FY2017'!$G$5:$G$86,'1.2 FY2017'!D$5:D$86)</f>
        <v>G&amp;Resources Ltd</v>
      </c>
      <c r="F88" s="24">
        <f>-SUMIF('1.1 FY2016'!$G:$G,'2.1 Database'!B88,'1.1 FY2016'!$E:$E)</f>
        <v>0</v>
      </c>
      <c r="G88" s="25">
        <f>-SUMIF('1.2 FY2017'!$G:$G,'2.1 Database'!B88,'1.2 FY2017'!$E:$E)</f>
        <v>0</v>
      </c>
      <c r="H88" s="25">
        <f>-SUMIF('1.3 FY2018'!$G:$G,'2.1 Database'!B88,'1.3 FY2018'!$E:$E)</f>
        <v>0</v>
      </c>
      <c r="J88" s="2" t="s">
        <v>230</v>
      </c>
      <c r="K88" s="2">
        <f>COUNTIF('2.2 P&amp;L statement'!$B$4:$B$24,'2.1 Database'!J88)</f>
        <v>1</v>
      </c>
    </row>
    <row r="89" spans="2:11" x14ac:dyDescent="0.2">
      <c r="B89" s="5" t="s">
        <v>198</v>
      </c>
      <c r="C89" s="5" t="str">
        <f>_xlfn.XLOOKUP($B89,'1.2 FY2017'!$G$5:$G$86,'1.2 FY2017'!B$5:B$86)</f>
        <v>Interest income</v>
      </c>
      <c r="D89" s="5">
        <f>_xlfn.XLOOKUP($B89,'1.2 FY2017'!$G$5:$G$86,'1.2 FY2017'!C$5:C$86)</f>
        <v>1006</v>
      </c>
      <c r="E89" s="5" t="str">
        <f>_xlfn.XLOOKUP($B89,'1.2 FY2017'!$G$5:$G$86,'1.2 FY2017'!D$5:D$86)</f>
        <v>Generco Mining GmbH</v>
      </c>
      <c r="F89" s="24">
        <f>-SUMIF('1.1 FY2016'!$G:$G,'2.1 Database'!B89,'1.1 FY2016'!$E:$E)</f>
        <v>0</v>
      </c>
      <c r="G89" s="25">
        <f>-SUMIF('1.2 FY2017'!$G:$G,'2.1 Database'!B89,'1.2 FY2017'!$E:$E)</f>
        <v>6778.415</v>
      </c>
      <c r="H89" s="25">
        <f>-SUMIF('1.3 FY2018'!$G:$G,'2.1 Database'!B89,'1.3 FY2018'!$E:$E)</f>
        <v>0</v>
      </c>
      <c r="J89" s="2" t="s">
        <v>230</v>
      </c>
      <c r="K89" s="2">
        <f>COUNTIF('2.2 P&amp;L statement'!$B$4:$B$24,'2.1 Database'!J89)</f>
        <v>1</v>
      </c>
    </row>
    <row r="90" spans="2:11" x14ac:dyDescent="0.2">
      <c r="B90" s="5" t="s">
        <v>199</v>
      </c>
      <c r="C90" s="5" t="str">
        <f>_xlfn.XLOOKUP($B90,'1.2 FY2017'!$G$5:$G$86,'1.2 FY2017'!B$5:B$86)</f>
        <v>Interest expenses</v>
      </c>
      <c r="D90" s="5">
        <f>_xlfn.XLOOKUP($B90,'1.2 FY2017'!$G$5:$G$86,'1.2 FY2017'!C$5:C$86)</f>
        <v>1007</v>
      </c>
      <c r="E90" s="5" t="str">
        <f>_xlfn.XLOOKUP($B90,'1.2 FY2017'!$G$5:$G$86,'1.2 FY2017'!D$5:D$86)</f>
        <v>Generco Semiconductors Ltd</v>
      </c>
      <c r="F90" s="24">
        <f>-SUMIF('1.1 FY2016'!$G:$G,'2.1 Database'!B90,'1.1 FY2016'!$E:$E)</f>
        <v>0</v>
      </c>
      <c r="G90" s="25">
        <f>-SUMIF('1.2 FY2017'!$G:$G,'2.1 Database'!B90,'1.2 FY2017'!$E:$E)</f>
        <v>0</v>
      </c>
      <c r="H90" s="25">
        <f>-SUMIF('1.3 FY2018'!$G:$G,'2.1 Database'!B90,'1.3 FY2018'!$E:$E)</f>
        <v>0</v>
      </c>
      <c r="J90" s="2" t="s">
        <v>230</v>
      </c>
      <c r="K90" s="2">
        <f>COUNTIF('2.2 P&amp;L statement'!$B$4:$B$24,'2.1 Database'!J90)</f>
        <v>1</v>
      </c>
    </row>
    <row r="91" spans="2:11" x14ac:dyDescent="0.2">
      <c r="B91" s="5" t="s">
        <v>200</v>
      </c>
      <c r="C91" s="5" t="str">
        <f>_xlfn.XLOOKUP($B91,'1.2 FY2017'!$G$5:$G$86,'1.2 FY2017'!B$5:B$86)</f>
        <v>Interest expenses</v>
      </c>
      <c r="D91" s="5">
        <f>_xlfn.XLOOKUP($B91,'1.2 FY2017'!$G$5:$G$86,'1.2 FY2017'!C$5:C$86)</f>
        <v>111111</v>
      </c>
      <c r="E91" s="5" t="str">
        <f>_xlfn.XLOOKUP($B91,'1.2 FY2017'!$G$5:$G$86,'1.2 FY2017'!D$5:D$86)</f>
        <v>External</v>
      </c>
      <c r="F91" s="24">
        <f>-SUMIF('1.1 FY2016'!$G:$G,'2.1 Database'!B91,'1.1 FY2016'!$E:$E)</f>
        <v>0</v>
      </c>
      <c r="G91" s="25">
        <f>-SUMIF('1.2 FY2017'!$G:$G,'2.1 Database'!B91,'1.2 FY2017'!$E:$E)</f>
        <v>-1250.7950000000001</v>
      </c>
      <c r="H91" s="25">
        <f>-SUMIF('1.3 FY2018'!$G:$G,'2.1 Database'!B91,'1.3 FY2018'!$E:$E)</f>
        <v>-51.454999999999998</v>
      </c>
      <c r="J91" s="2" t="s">
        <v>230</v>
      </c>
      <c r="K91" s="2">
        <f>COUNTIF('2.2 P&amp;L statement'!$B$4:$B$24,'2.1 Database'!J91)</f>
        <v>1</v>
      </c>
    </row>
    <row r="92" spans="2:11" x14ac:dyDescent="0.2">
      <c r="B92" s="5" t="s">
        <v>219</v>
      </c>
      <c r="C92" s="5" t="str">
        <f>_xlfn.XLOOKUP($B92,'1.2 FY2017'!$G$5:$G$86,'1.2 FY2017'!B$5:B$86)</f>
        <v>Impairment of participation</v>
      </c>
      <c r="D92" s="5">
        <f>_xlfn.XLOOKUP($B92,'1.2 FY2017'!$G$5:$G$86,'1.2 FY2017'!C$5:C$86)</f>
        <v>1240</v>
      </c>
      <c r="E92" s="5" t="str">
        <f>_xlfn.XLOOKUP($B92,'1.2 FY2017'!$G$5:$G$86,'1.2 FY2017'!D$5:D$86)</f>
        <v xml:space="preserve">Generco UK </v>
      </c>
      <c r="F92" s="24">
        <f>-SUMIF('1.1 FY2016'!$G:$G,'2.1 Database'!B92,'1.1 FY2016'!$E:$E)</f>
        <v>0</v>
      </c>
      <c r="G92" s="25">
        <f>-SUMIF('1.2 FY2017'!$G:$G,'2.1 Database'!B92,'1.2 FY2017'!$E:$E)</f>
        <v>-4130000</v>
      </c>
      <c r="H92" s="25">
        <f>-SUMIF('1.3 FY2018'!$G:$G,'2.1 Database'!B92,'1.3 FY2018'!$E:$E)</f>
        <v>0</v>
      </c>
      <c r="J92" s="2" t="s">
        <v>232</v>
      </c>
      <c r="K92" s="2">
        <f>COUNTIF('2.2 P&amp;L statement'!$B$4:$B$24,'2.1 Database'!J92)</f>
        <v>1</v>
      </c>
    </row>
    <row r="93" spans="2:11" ht="14.4" x14ac:dyDescent="0.3">
      <c r="B93" s="5" t="s">
        <v>220</v>
      </c>
      <c r="C93" s="5" t="str">
        <f>_xlfn.XLOOKUP($B93,'1.2 FY2017'!$G$5:$G$86,'1.2 FY2017'!B$5:B$86)</f>
        <v>Quarterly changes in current taxes</v>
      </c>
      <c r="D93" s="5">
        <f>_xlfn.XLOOKUP($B93,'1.2 FY2017'!$G$5:$G$86,'1.2 FY2017'!C$5:C$86)</f>
        <v>111101</v>
      </c>
      <c r="E93" s="5" t="str">
        <f>_xlfn.XLOOKUP($B93,'1.2 FY2017'!$G$5:$G$86,'1.2 FY2017'!D$5:D$86)</f>
        <v>Not assigned</v>
      </c>
      <c r="F93" s="24">
        <f>-SUMIF('1.1 FY2016'!$G:$G,'2.1 Database'!B93,'1.1 FY2016'!$E:$E)</f>
        <v>0</v>
      </c>
      <c r="G93" s="25">
        <f>-SUMIF('1.2 FY2017'!$G:$G,'2.1 Database'!B93,'1.2 FY2017'!$E:$E)</f>
        <v>0</v>
      </c>
      <c r="H93" s="25">
        <f>-SUMIF('1.3 FY2018'!$G:$G,'2.1 Database'!B93,'1.3 FY2018'!$E:$E)</f>
        <v>0</v>
      </c>
      <c r="K93">
        <f>COUNTIF('2.2 P&amp;L statement'!$B$4:$B$24,'2.1 Database'!J93)</f>
        <v>0</v>
      </c>
    </row>
    <row r="94" spans="2:11" x14ac:dyDescent="0.2">
      <c r="B94" s="5" t="s">
        <v>203</v>
      </c>
      <c r="C94" s="5" t="str">
        <f>_xlfn.XLOOKUP($B94,'1.2 FY2017'!$G$5:$G$86,'1.2 FY2017'!B$5:B$86)</f>
        <v>Net income/(loss)</v>
      </c>
      <c r="D94" s="5">
        <f>_xlfn.XLOOKUP($B94,'1.2 FY2017'!$G$5:$G$86,'1.2 FY2017'!C$5:C$86)</f>
        <v>111101</v>
      </c>
      <c r="E94" s="5" t="str">
        <f>_xlfn.XLOOKUP($B94,'1.2 FY2017'!$G$5:$G$86,'1.2 FY2017'!D$5:D$86)</f>
        <v>Not assigned</v>
      </c>
      <c r="F94" s="24">
        <f>SUMIF('1.1 FY2016'!$G:$G,'2.1 Database'!B94,'1.1 FY2016'!$E:$E)</f>
        <v>0</v>
      </c>
      <c r="G94" s="25">
        <f>SUMIF('1.2 FY2017'!$G:$G,'2.1 Database'!B94,'1.2 FY2017'!$E:$E)</f>
        <v>6073808.1600000001</v>
      </c>
      <c r="H94" s="25">
        <f>SUMIF('1.3 FY2018'!$G:$G,'2.1 Database'!B94,'1.3 FY2018'!$E:$E)</f>
        <v>-779290.47600000002</v>
      </c>
      <c r="J94" s="2" t="s">
        <v>234</v>
      </c>
      <c r="K94" s="2">
        <f>COUNTIF('2.2 P&amp;L statement'!$B$4:$B$24,'2.1 Database'!J94)</f>
        <v>1</v>
      </c>
    </row>
    <row r="95" spans="2:11" x14ac:dyDescent="0.2">
      <c r="B95" s="5" t="s">
        <v>175</v>
      </c>
      <c r="C95" s="5" t="str">
        <f>_xlfn.XLOOKUP($B95,'1.3 FY2018'!$G$5:$G$78,'1.3 FY2018'!B$5:B$78)</f>
        <v>Operating expenses for utilities</v>
      </c>
      <c r="D95" s="5">
        <f>_xlfn.XLOOKUP($B95,'1.3 FY2018'!$G$5:$G$78,'1.3 FY2018'!C$5:C$78)</f>
        <v>111111</v>
      </c>
      <c r="E95" s="5" t="str">
        <f>_xlfn.XLOOKUP($B95,'1.3 FY2018'!$G$5:$G$78,'1.3 FY2018'!D$5:D$78)</f>
        <v>External</v>
      </c>
      <c r="F95" s="24">
        <f>-SUMIF('1.1 FY2016'!$G:$G,'2.1 Database'!B95,'1.1 FY2016'!$E:$E)</f>
        <v>0</v>
      </c>
      <c r="G95" s="25">
        <f>-SUMIF('1.2 FY2017'!$G:$G,'2.1 Database'!B95,'1.2 FY2017'!$E:$E)</f>
        <v>0</v>
      </c>
      <c r="H95" s="25">
        <f>-SUMIF('1.3 FY2018'!$G:$G,'2.1 Database'!B95,'1.3 FY2018'!$E:$E)</f>
        <v>-13691.949999999999</v>
      </c>
      <c r="J95" s="2" t="s">
        <v>226</v>
      </c>
      <c r="K95" s="2">
        <f>COUNTIF('2.2 P&amp;L statement'!$B$4:$B$24,'2.1 Database'!J95)</f>
        <v>1</v>
      </c>
    </row>
    <row r="96" spans="2:11" x14ac:dyDescent="0.2">
      <c r="B96" s="5" t="s">
        <v>178</v>
      </c>
      <c r="C96" s="5" t="str">
        <f>_xlfn.XLOOKUP($B96,'1.3 FY2018'!$G$5:$G$78,'1.3 FY2018'!B$5:B$78)</f>
        <v>R&amp;D expenses</v>
      </c>
      <c r="D96" s="5" t="str">
        <f>_xlfn.XLOOKUP($B96,'1.3 FY2018'!$G$5:$G$78,'1.3 FY2018'!C$5:C$78)</f>
        <v>2185</v>
      </c>
      <c r="E96" s="5" t="str">
        <f>_xlfn.XLOOKUP($B96,'1.3 FY2018'!$G$5:$G$78,'1.3 FY2018'!D$5:D$78)</f>
        <v>Generco Green Projects GmbH</v>
      </c>
      <c r="F96" s="24">
        <f>-SUMIF('1.1 FY2016'!$G:$G,'2.1 Database'!B96,'1.1 FY2016'!$E:$E)</f>
        <v>0</v>
      </c>
      <c r="G96" s="25">
        <f>-SUMIF('1.2 FY2017'!$G:$G,'2.1 Database'!B96,'1.2 FY2017'!$E:$E)</f>
        <v>0</v>
      </c>
      <c r="H96" s="25">
        <f>-SUMIF('1.3 FY2018'!$G:$G,'2.1 Database'!B96,'1.3 FY2018'!$E:$E)</f>
        <v>-192017.14499999996</v>
      </c>
      <c r="J96" s="2" t="s">
        <v>226</v>
      </c>
      <c r="K96" s="2">
        <f>COUNTIF('2.2 P&amp;L statement'!$B$4:$B$24,'2.1 Database'!J96)</f>
        <v>1</v>
      </c>
    </row>
    <row r="97" spans="2:11" x14ac:dyDescent="0.2">
      <c r="B97" s="5" t="s">
        <v>179</v>
      </c>
      <c r="C97" s="5" t="str">
        <f>_xlfn.XLOOKUP($B97,'1.3 FY2018'!$G$5:$G$78,'1.3 FY2018'!B$5:B$78)</f>
        <v>R&amp;D expenses</v>
      </c>
      <c r="D97" s="5" t="str">
        <f>_xlfn.XLOOKUP($B97,'1.3 FY2018'!$G$5:$G$78,'1.3 FY2018'!C$5:C$78)</f>
        <v>2240</v>
      </c>
      <c r="E97" s="5" t="str">
        <f>_xlfn.XLOOKUP($B97,'1.3 FY2018'!$G$5:$G$78,'1.3 FY2018'!D$5:D$78)</f>
        <v>Greeny Germany GmbH</v>
      </c>
      <c r="F97" s="24">
        <f>-SUMIF('1.1 FY2016'!$G:$G,'2.1 Database'!B97,'1.1 FY2016'!$E:$E)</f>
        <v>0</v>
      </c>
      <c r="G97" s="25">
        <f>-SUMIF('1.2 FY2017'!$G:$G,'2.1 Database'!B97,'1.2 FY2017'!$E:$E)</f>
        <v>0</v>
      </c>
      <c r="H97" s="25">
        <f>-SUMIF('1.3 FY2018'!$G:$G,'2.1 Database'!B97,'1.3 FY2018'!$E:$E)</f>
        <v>-375290.46599999996</v>
      </c>
      <c r="J97" s="2" t="s">
        <v>226</v>
      </c>
      <c r="K97" s="2">
        <f>COUNTIF('2.2 P&amp;L statement'!$B$4:$B$24,'2.1 Database'!J97)</f>
        <v>1</v>
      </c>
    </row>
    <row r="98" spans="2:11" x14ac:dyDescent="0.2">
      <c r="B98" s="5" t="s">
        <v>180</v>
      </c>
      <c r="C98" s="5" t="str">
        <f>_xlfn.XLOOKUP($B98,'1.3 FY2018'!$G$5:$G$78,'1.3 FY2018'!B$5:B$78)</f>
        <v>R&amp;D expenses</v>
      </c>
      <c r="D98" s="5">
        <f>_xlfn.XLOOKUP($B98,'1.3 FY2018'!$G$5:$G$78,'1.3 FY2018'!C$5:C$78)</f>
        <v>17000</v>
      </c>
      <c r="E98" s="5" t="str">
        <f>_xlfn.XLOOKUP($B98,'1.3 FY2018'!$G$5:$G$78,'1.3 FY2018'!D$5:D$78)</f>
        <v>Generco Risk Management Ltd</v>
      </c>
      <c r="F98" s="24">
        <f>-SUMIF('1.1 FY2016'!$G:$G,'2.1 Database'!B98,'1.1 FY2016'!$E:$E)</f>
        <v>0</v>
      </c>
      <c r="G98" s="25">
        <f>-SUMIF('1.2 FY2017'!$G:$G,'2.1 Database'!B98,'1.2 FY2017'!$E:$E)</f>
        <v>0</v>
      </c>
      <c r="H98" s="25">
        <f>-SUMIF('1.3 FY2018'!$G:$G,'2.1 Database'!B98,'1.3 FY2018'!$E:$E)</f>
        <v>-4920</v>
      </c>
      <c r="J98" s="2" t="s">
        <v>226</v>
      </c>
      <c r="K98" s="2">
        <f>COUNTIF('2.2 P&amp;L statement'!$B$4:$B$24,'2.1 Database'!J98)</f>
        <v>1</v>
      </c>
    </row>
    <row r="99" spans="2:11" x14ac:dyDescent="0.2">
      <c r="B99" s="5" t="s">
        <v>182</v>
      </c>
      <c r="C99" s="5" t="str">
        <f>_xlfn.XLOOKUP($B99,'1.3 FY2018'!$G$5:$G$78,'1.3 FY2018'!B$5:B$78)</f>
        <v>Other operative currency differences</v>
      </c>
      <c r="D99" s="5" t="str">
        <f>_xlfn.XLOOKUP($B99,'1.3 FY2018'!$G$5:$G$78,'1.3 FY2018'!C$5:C$78)</f>
        <v>1118</v>
      </c>
      <c r="E99" s="5" t="str">
        <f>_xlfn.XLOOKUP($B99,'1.3 FY2018'!$G$5:$G$78,'1.3 FY2018'!D$5:D$78)</f>
        <v>Gener Green LLC</v>
      </c>
      <c r="F99" s="24">
        <f>-SUMIF('1.1 FY2016'!$G:$G,'2.1 Database'!B99,'1.1 FY2016'!$E:$E)</f>
        <v>0</v>
      </c>
      <c r="G99" s="25">
        <f>-SUMIF('1.2 FY2017'!$G:$G,'2.1 Database'!B99,'1.2 FY2017'!$E:$E)</f>
        <v>0</v>
      </c>
      <c r="H99" s="25">
        <f>-SUMIF('1.3 FY2018'!$G:$G,'2.1 Database'!B99,'1.3 FY2018'!$E:$E)</f>
        <v>0</v>
      </c>
      <c r="J99" s="2" t="s">
        <v>226</v>
      </c>
      <c r="K99" s="2">
        <f>COUNTIF('2.2 P&amp;L statement'!$B$4:$B$24,'2.1 Database'!J99)</f>
        <v>1</v>
      </c>
    </row>
    <row r="100" spans="2:11" x14ac:dyDescent="0.2">
      <c r="B100" s="5" t="s">
        <v>183</v>
      </c>
      <c r="C100" s="5" t="str">
        <f>_xlfn.XLOOKUP($B100,'1.3 FY2018'!$G$5:$G$78,'1.3 FY2018'!B$5:B$78)</f>
        <v>Other operative currency differences</v>
      </c>
      <c r="D100" s="5">
        <f>_xlfn.XLOOKUP($B100,'1.3 FY2018'!$G$5:$G$78,'1.3 FY2018'!C$5:C$78)</f>
        <v>111111</v>
      </c>
      <c r="E100" s="5" t="str">
        <f>_xlfn.XLOOKUP($B100,'1.3 FY2018'!$G$5:$G$78,'1.3 FY2018'!D$5:D$78)</f>
        <v>External</v>
      </c>
      <c r="F100" s="24">
        <f>-SUMIF('1.1 FY2016'!$G:$G,'2.1 Database'!B100,'1.1 FY2016'!$E:$E)</f>
        <v>0</v>
      </c>
      <c r="G100" s="25">
        <f>-SUMIF('1.2 FY2017'!$G:$G,'2.1 Database'!B100,'1.2 FY2017'!$E:$E)</f>
        <v>0</v>
      </c>
      <c r="H100" s="25">
        <f>-SUMIF('1.3 FY2018'!$G:$G,'2.1 Database'!B100,'1.3 FY2018'!$E:$E)</f>
        <v>1252.8369999999998</v>
      </c>
      <c r="J100" s="2" t="s">
        <v>226</v>
      </c>
      <c r="K100" s="2">
        <f>COUNTIF('2.2 P&amp;L statement'!$B$4:$B$24,'2.1 Database'!J100)</f>
        <v>1</v>
      </c>
    </row>
    <row r="101" spans="2:11" x14ac:dyDescent="0.2">
      <c r="B101" s="5" t="s">
        <v>187</v>
      </c>
      <c r="C101" s="5" t="str">
        <f>_xlfn.XLOOKUP($B101,'1.3 FY2018'!$G$5:$G$78,'1.3 FY2018'!B$5:B$78)</f>
        <v>Corporate recharges</v>
      </c>
      <c r="D101" s="5">
        <f>_xlfn.XLOOKUP($B101,'1.3 FY2018'!$G$5:$G$78,'1.3 FY2018'!C$5:C$78)</f>
        <v>1006</v>
      </c>
      <c r="E101" s="5" t="str">
        <f>_xlfn.XLOOKUP($B101,'1.3 FY2018'!$G$5:$G$78,'1.3 FY2018'!D$5:D$78)</f>
        <v>Generco Mining GmbH</v>
      </c>
      <c r="F101" s="24">
        <f>-SUMIF('1.1 FY2016'!$G:$G,'2.1 Database'!B101,'1.1 FY2016'!$E:$E)</f>
        <v>0</v>
      </c>
      <c r="G101" s="25">
        <f>-SUMIF('1.2 FY2017'!$G:$G,'2.1 Database'!B101,'1.2 FY2017'!$E:$E)</f>
        <v>0</v>
      </c>
      <c r="H101" s="25">
        <f>-SUMIF('1.3 FY2018'!$G:$G,'2.1 Database'!B101,'1.3 FY2018'!$E:$E)</f>
        <v>0</v>
      </c>
      <c r="J101" s="2" t="s">
        <v>228</v>
      </c>
      <c r="K101" s="2">
        <f>COUNTIF('2.2 P&amp;L statement'!$B$4:$B$24,'2.1 Database'!J101)</f>
        <v>1</v>
      </c>
    </row>
    <row r="102" spans="2:11" x14ac:dyDescent="0.2">
      <c r="B102" s="5" t="s">
        <v>189</v>
      </c>
      <c r="C102" s="5" t="str">
        <f>_xlfn.XLOOKUP($B102,'1.3 FY2018'!$G$5:$G$78,'1.3 FY2018'!B$5:B$78)</f>
        <v>Reimbursements+compensation for damages</v>
      </c>
      <c r="D102" s="5">
        <f>_xlfn.XLOOKUP($B102,'1.3 FY2018'!$G$5:$G$78,'1.3 FY2018'!C$5:C$78)</f>
        <v>111111</v>
      </c>
      <c r="E102" s="5" t="str">
        <f>_xlfn.XLOOKUP($B102,'1.3 FY2018'!$G$5:$G$78,'1.3 FY2018'!D$5:D$78)</f>
        <v>External</v>
      </c>
      <c r="F102" s="24">
        <f>-SUMIF('1.1 FY2016'!$G:$G,'2.1 Database'!B102,'1.1 FY2016'!$E:$E)</f>
        <v>0</v>
      </c>
      <c r="G102" s="25">
        <f>-SUMIF('1.2 FY2017'!$G:$G,'2.1 Database'!B102,'1.2 FY2017'!$E:$E)</f>
        <v>0</v>
      </c>
      <c r="H102" s="25">
        <f>-SUMIF('1.3 FY2018'!$G:$G,'2.1 Database'!B102,'1.3 FY2018'!$E:$E)</f>
        <v>61499.999999999993</v>
      </c>
      <c r="J102" s="2" t="s">
        <v>226</v>
      </c>
      <c r="K102" s="2">
        <f>COUNTIF('2.2 P&amp;L statement'!$B$4:$B$24,'2.1 Database'!J102)</f>
        <v>1</v>
      </c>
    </row>
    <row r="103" spans="2:11" x14ac:dyDescent="0.2">
      <c r="B103" s="5" t="s">
        <v>190</v>
      </c>
      <c r="C103" s="5" t="str">
        <f>_xlfn.XLOOKUP($B103,'1.3 FY2018'!$G$5:$G$78,'1.3 FY2018'!B$5:B$78)</f>
        <v>Other income</v>
      </c>
      <c r="D103" s="5">
        <f>_xlfn.XLOOKUP($B103,'1.3 FY2018'!$G$5:$G$78,'1.3 FY2018'!C$5:C$78)</f>
        <v>105</v>
      </c>
      <c r="E103" s="5" t="str">
        <f>_xlfn.XLOOKUP($B103,'1.3 FY2018'!$G$5:$G$78,'1.3 FY2018'!D$5:D$78)</f>
        <v>Generco Healthcare Ltd</v>
      </c>
      <c r="F103" s="24">
        <f>-SUMIF('1.1 FY2016'!$G:$G,'2.1 Database'!B103,'1.1 FY2016'!$E:$E)</f>
        <v>0</v>
      </c>
      <c r="G103" s="25">
        <f>-SUMIF('1.2 FY2017'!$G:$G,'2.1 Database'!B103,'1.2 FY2017'!$E:$E)</f>
        <v>0</v>
      </c>
      <c r="H103" s="25">
        <f>-SUMIF('1.3 FY2018'!$G:$G,'2.1 Database'!B103,'1.3 FY2018'!$E:$E)</f>
        <v>30913.425999999996</v>
      </c>
      <c r="J103" s="2" t="s">
        <v>74</v>
      </c>
      <c r="K103" s="2">
        <f>COUNTIF('2.2 P&amp;L statement'!$B$4:$B$24,'2.1 Database'!J103)</f>
        <v>1</v>
      </c>
    </row>
    <row r="104" spans="2:11" x14ac:dyDescent="0.2">
      <c r="B104" s="5" t="s">
        <v>191</v>
      </c>
      <c r="C104" s="5" t="str">
        <f>_xlfn.XLOOKUP($B104,'1.3 FY2018'!$G$5:$G$78,'1.3 FY2018'!B$5:B$78)</f>
        <v>Leasings</v>
      </c>
      <c r="D104" s="5">
        <f>_xlfn.XLOOKUP($B104,'1.3 FY2018'!$G$5:$G$78,'1.3 FY2018'!C$5:C$78)</f>
        <v>105</v>
      </c>
      <c r="E104" s="5" t="str">
        <f>_xlfn.XLOOKUP($B104,'1.3 FY2018'!$G$5:$G$78,'1.3 FY2018'!D$5:D$78)</f>
        <v>Generco Healthcare Ltd</v>
      </c>
      <c r="F104" s="24">
        <f>-SUMIF('1.1 FY2016'!$G:$G,'2.1 Database'!B104,'1.1 FY2016'!$E:$E)</f>
        <v>0</v>
      </c>
      <c r="G104" s="25">
        <f>-SUMIF('1.2 FY2017'!$G:$G,'2.1 Database'!B104,'1.2 FY2017'!$E:$E)</f>
        <v>0</v>
      </c>
      <c r="H104" s="25">
        <f>-SUMIF('1.3 FY2018'!$G:$G,'2.1 Database'!B104,'1.3 FY2018'!$E:$E)</f>
        <v>1423120</v>
      </c>
      <c r="J104" s="2" t="s">
        <v>77</v>
      </c>
      <c r="K104" s="2">
        <f>COUNTIF('2.2 P&amp;L statement'!$B$4:$B$24,'2.1 Database'!J104)</f>
        <v>1</v>
      </c>
    </row>
    <row r="105" spans="2:11" x14ac:dyDescent="0.2">
      <c r="B105" s="5" t="s">
        <v>193</v>
      </c>
      <c r="C105" s="5" t="str">
        <f>_xlfn.XLOOKUP($B105,'1.3 FY2018'!$G$5:$G$78,'1.3 FY2018'!B$5:B$78)</f>
        <v>Insurance expenses</v>
      </c>
      <c r="D105" s="5">
        <f>_xlfn.XLOOKUP($B105,'1.3 FY2018'!$G$5:$G$78,'1.3 FY2018'!C$5:C$78)</f>
        <v>88</v>
      </c>
      <c r="E105" s="5" t="str">
        <f>_xlfn.XLOOKUP($B105,'1.3 FY2018'!$G$5:$G$78,'1.3 FY2018'!D$5:D$78)</f>
        <v>Generco Ltd</v>
      </c>
      <c r="F105" s="24">
        <f>-SUMIF('1.1 FY2016'!$G:$G,'2.1 Database'!B105,'1.1 FY2016'!$E:$E)</f>
        <v>0</v>
      </c>
      <c r="G105" s="25">
        <f>-SUMIF('1.2 FY2017'!$G:$G,'2.1 Database'!B105,'1.2 FY2017'!$E:$E)</f>
        <v>0</v>
      </c>
      <c r="H105" s="25">
        <f>-SUMIF('1.3 FY2018'!$G:$G,'2.1 Database'!B105,'1.3 FY2018'!$E:$E)</f>
        <v>-584.66</v>
      </c>
      <c r="J105" s="2" t="s">
        <v>226</v>
      </c>
      <c r="K105" s="2">
        <f>COUNTIF('2.2 P&amp;L statement'!$B$4:$B$24,'2.1 Database'!J105)</f>
        <v>1</v>
      </c>
    </row>
    <row r="106" spans="2:11" x14ac:dyDescent="0.2">
      <c r="B106" s="5" t="s">
        <v>194</v>
      </c>
      <c r="C106" s="5" t="str">
        <f>_xlfn.XLOOKUP($B106,'1.3 FY2018'!$G$5:$G$78,'1.3 FY2018'!B$5:B$78)</f>
        <v>Repairs/Maintenance costs</v>
      </c>
      <c r="D106" s="5">
        <f>_xlfn.XLOOKUP($B106,'1.3 FY2018'!$G$5:$G$78,'1.3 FY2018'!C$5:C$78)</f>
        <v>111111</v>
      </c>
      <c r="E106" s="5" t="str">
        <f>_xlfn.XLOOKUP($B106,'1.3 FY2018'!$G$5:$G$78,'1.3 FY2018'!D$5:D$78)</f>
        <v>External</v>
      </c>
      <c r="F106" s="24">
        <f>-SUMIF('1.1 FY2016'!$G:$G,'2.1 Database'!B106,'1.1 FY2016'!$E:$E)</f>
        <v>0</v>
      </c>
      <c r="G106" s="25">
        <f>-SUMIF('1.2 FY2017'!$G:$G,'2.1 Database'!B106,'1.2 FY2017'!$E:$E)</f>
        <v>0</v>
      </c>
      <c r="H106" s="25">
        <f>-SUMIF('1.3 FY2018'!$G:$G,'2.1 Database'!B106,'1.3 FY2018'!$E:$E)</f>
        <v>-1352.9999999999998</v>
      </c>
      <c r="J106" s="2" t="s">
        <v>226</v>
      </c>
      <c r="K106" s="2">
        <f>COUNTIF('2.2 P&amp;L statement'!$B$4:$B$24,'2.1 Database'!J106)</f>
        <v>1</v>
      </c>
    </row>
    <row r="107" spans="2:11" ht="14.4" x14ac:dyDescent="0.3">
      <c r="B107" s="5" t="s">
        <v>201</v>
      </c>
      <c r="C107" s="5" t="str">
        <f>_xlfn.XLOOKUP($B107,'1.3 FY2018'!$G$5:$G$78,'1.3 FY2018'!B$5:B$78)</f>
        <v>Impairment of participation</v>
      </c>
      <c r="D107" s="5">
        <f>_xlfn.XLOOKUP($B107,'1.3 FY2018'!$G$5:$G$78,'1.3 FY2018'!C$5:C$78)</f>
        <v>111101</v>
      </c>
      <c r="E107" s="5" t="str">
        <f>_xlfn.XLOOKUP($B107,'1.3 FY2018'!$G$5:$G$78,'1.3 FY2018'!D$5:D$78)</f>
        <v>Not assigned</v>
      </c>
      <c r="F107" s="24">
        <f>-SUMIF('1.1 FY2016'!$G:$G,'2.1 Database'!B107,'1.1 FY2016'!$E:$E)</f>
        <v>0</v>
      </c>
      <c r="G107" s="25">
        <f>-SUMIF('1.2 FY2017'!$G:$G,'2.1 Database'!B107,'1.2 FY2017'!$E:$E)</f>
        <v>0</v>
      </c>
      <c r="H107" s="25">
        <f>-SUMIF('1.3 FY2018'!$G:$G,'2.1 Database'!B107,'1.3 FY2018'!$E:$E)</f>
        <v>0</v>
      </c>
      <c r="K107">
        <f>COUNTIF('2.2 P&amp;L statement'!$B$4:$B$24,'2.1 Database'!J107)</f>
        <v>0</v>
      </c>
    </row>
    <row r="108" spans="2:11" ht="14.4" x14ac:dyDescent="0.3">
      <c r="B108" s="5" t="s">
        <v>202</v>
      </c>
      <c r="C108" s="5" t="str">
        <f>_xlfn.XLOOKUP($B108,'1.3 FY2018'!$G$5:$G$78,'1.3 FY2018'!B$5:B$78)</f>
        <v>Offset segments (tech.)</v>
      </c>
      <c r="D108" s="5">
        <f>_xlfn.XLOOKUP($B108,'1.3 FY2018'!$G$5:$G$78,'1.3 FY2018'!C$5:C$78)</f>
        <v>111101</v>
      </c>
      <c r="E108" s="5" t="str">
        <f>_xlfn.XLOOKUP($B108,'1.3 FY2018'!$G$5:$G$78,'1.3 FY2018'!D$5:D$78)</f>
        <v>Not assigned</v>
      </c>
      <c r="F108" s="24">
        <f>-SUMIF('1.1 FY2016'!$G:$G,'2.1 Database'!B108,'1.1 FY2016'!$E:$E)</f>
        <v>0</v>
      </c>
      <c r="G108" s="25">
        <f>-SUMIF('1.2 FY2017'!$G:$G,'2.1 Database'!B108,'1.2 FY2017'!$E:$E)</f>
        <v>0</v>
      </c>
      <c r="H108" s="25">
        <f>-SUMIF('1.3 FY2018'!$G:$G,'2.1 Database'!B108,'1.3 FY2018'!$E:$E)</f>
        <v>0</v>
      </c>
      <c r="K108">
        <f>COUNTIF('2.2 P&amp;L statement'!$B$4:$B$24,'2.1 Database'!J108)</f>
        <v>0</v>
      </c>
    </row>
    <row r="109" spans="2:11" x14ac:dyDescent="0.2">
      <c r="B109" s="5" t="s">
        <v>223</v>
      </c>
      <c r="C109" s="2" t="s">
        <v>223</v>
      </c>
      <c r="D109" s="2" t="s">
        <v>223</v>
      </c>
      <c r="E109" s="2" t="s">
        <v>223</v>
      </c>
      <c r="F109" s="2" t="s">
        <v>223</v>
      </c>
      <c r="G109" s="2" t="s">
        <v>223</v>
      </c>
      <c r="H109" s="2" t="s">
        <v>223</v>
      </c>
    </row>
    <row r="110" spans="2:11" ht="14.4" x14ac:dyDescent="0.3">
      <c r="B110"/>
    </row>
    <row r="111" spans="2:11" ht="14.4" x14ac:dyDescent="0.3">
      <c r="B111"/>
    </row>
    <row r="112" spans="2:11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K32"/>
  <sheetViews>
    <sheetView workbookViewId="0">
      <selection activeCell="B1" sqref="B1"/>
    </sheetView>
  </sheetViews>
  <sheetFormatPr defaultRowHeight="13.8" x14ac:dyDescent="0.25"/>
  <cols>
    <col min="1" max="1" width="2" style="26" customWidth="1"/>
    <col min="2" max="2" width="32" style="26" customWidth="1"/>
    <col min="3" max="5" width="12.33203125" style="26" customWidth="1"/>
    <col min="6" max="6" width="2" style="26" customWidth="1"/>
    <col min="7" max="8" width="11.109375" style="26" customWidth="1"/>
    <col min="9" max="9" width="2" style="26" customWidth="1"/>
    <col min="10" max="10" width="8.88671875" style="26"/>
    <col min="11" max="11" width="15.21875" style="26" bestFit="1" customWidth="1"/>
    <col min="12" max="16384" width="8.88671875" style="26"/>
  </cols>
  <sheetData>
    <row r="1" spans="2:11" ht="22.8" x14ac:dyDescent="0.4">
      <c r="B1" s="27" t="s">
        <v>235</v>
      </c>
    </row>
    <row r="3" spans="2:11" ht="42" thickBot="1" x14ac:dyDescent="0.3">
      <c r="B3" s="29" t="s">
        <v>236</v>
      </c>
      <c r="C3" s="30" t="s">
        <v>242</v>
      </c>
      <c r="D3" s="30" t="s">
        <v>243</v>
      </c>
      <c r="E3" s="30" t="s">
        <v>244</v>
      </c>
      <c r="G3" s="31" t="s">
        <v>246</v>
      </c>
      <c r="H3" s="31" t="s">
        <v>247</v>
      </c>
      <c r="J3" s="30" t="s">
        <v>253</v>
      </c>
    </row>
    <row r="4" spans="2:11" x14ac:dyDescent="0.25">
      <c r="B4" s="43" t="s">
        <v>225</v>
      </c>
      <c r="C4" s="44">
        <f>SUMIF('2.1 Database'!$J$4:$J$108,'2.2 P&amp;L statement'!$B4,'2.1 Database'!F$4:F$108)/1000000</f>
        <v>14.500341000000001</v>
      </c>
      <c r="D4" s="44">
        <f>SUMIF('2.1 Database'!$J$4:$J$108,'2.2 P&amp;L statement'!$B4,'2.1 Database'!G$4:G$108)/1000000</f>
        <v>16.148295364999999</v>
      </c>
      <c r="E4" s="44">
        <f>SUMIF('2.1 Database'!$J$4:$J$108,'2.2 P&amp;L statement'!$B4,'2.1 Database'!H$4:H$108)/1000000</f>
        <v>15.047803019</v>
      </c>
      <c r="F4" s="43"/>
      <c r="G4" s="52" cm="1">
        <f t="array" ref="G4">_xlfn.IFS(ISERROR((D4/C4)-1), "N.A", ((D4/C4)-1)&gt;1,"&gt;100.0%",((D4/C4)-1)&lt;-1,"&lt;-100.0%", ((D4/C4)-1),  ((D4/C4)-1))</f>
        <v>0.11364935245315944</v>
      </c>
      <c r="H4" s="52" cm="1">
        <f t="array" ref="H4">_xlfn.IFS(ISERROR((E4/D4)-1), "N.A", ((E4/D4)-1)&gt;1,"&gt;100.0%",((E4/D4)-1)&lt;-1,"&lt;-100.0%", ((E4/D4)-1),  ((E4/D4)-1))</f>
        <v>-6.8149134080444096E-2</v>
      </c>
    </row>
    <row r="5" spans="2:11" x14ac:dyDescent="0.25">
      <c r="B5" s="43" t="s">
        <v>66</v>
      </c>
      <c r="C5" s="44">
        <f>SUMIF('2.1 Database'!$J$4:$J$108,'2.2 P&amp;L statement'!$B5,'2.1 Database'!F$4:F$108)/1000000</f>
        <v>4.7948561920000001</v>
      </c>
      <c r="D5" s="44">
        <f>SUMIF('2.1 Database'!$J$4:$J$108,'2.2 P&amp;L statement'!$B5,'2.1 Database'!G$4:G$108)/1000000</f>
        <v>6.9602176449999993</v>
      </c>
      <c r="E5" s="44">
        <f>SUMIF('2.1 Database'!$J$4:$J$108,'2.2 P&amp;L statement'!$B5,'2.1 Database'!H$4:H$108)/1000000</f>
        <v>6.3736175140000002</v>
      </c>
      <c r="F5" s="43"/>
      <c r="G5" s="52" cm="1">
        <f t="array" ref="G5">_xlfn.IFS(ISERROR((D5/C5)-1), "N.A", ((D5/C5)-1)&gt;1,"&gt;100.0%",((D5/C5)-1)&lt;-1,"&lt;-100.0%", ((D5/C5)-1),  ((D5/C5)-1))</f>
        <v>0.45160091696030569</v>
      </c>
      <c r="H5" s="52" cm="1">
        <f t="array" ref="H5">_xlfn.IFS(ISERROR((E5/D5)-1), "N.A", ((E5/D5)-1)&gt;1,"&gt;100.0%",((E5/D5)-1)&lt;-1,"&lt;-100.0%", ((E5/D5)-1),  ((E5/D5)-1))</f>
        <v>-8.4278992542911935E-2</v>
      </c>
      <c r="K5" s="28"/>
    </row>
    <row r="6" spans="2:11" x14ac:dyDescent="0.25">
      <c r="B6" s="43" t="s">
        <v>228</v>
      </c>
      <c r="C6" s="44">
        <f>SUMIF('2.1 Database'!$J$4:$J$108,'2.2 P&amp;L statement'!$B6,'2.1 Database'!F$4:F$108)/1000000</f>
        <v>3.2200542519999997</v>
      </c>
      <c r="D6" s="44">
        <f>SUMIF('2.1 Database'!$J$4:$J$108,'2.2 P&amp;L statement'!$B6,'2.1 Database'!G$4:G$108)/1000000</f>
        <v>2.9240919949999999</v>
      </c>
      <c r="E6" s="44">
        <f>SUMIF('2.1 Database'!$J$4:$J$108,'2.2 P&amp;L statement'!$B6,'2.1 Database'!H$4:H$108)/1000000</f>
        <v>4.8931777299999997</v>
      </c>
      <c r="F6" s="43"/>
      <c r="G6" s="52" cm="1">
        <f t="array" ref="G6">_xlfn.IFS(ISERROR((D6/C6)-1), "N.A", ((D6/C6)-1)&gt;1,"&gt;100.0%",((D6/C6)-1)&lt;-1,"&lt;-100.0%", ((D6/C6)-1),  ((D6/C6)-1))</f>
        <v>-9.1912195832158816E-2</v>
      </c>
      <c r="H6" s="52" cm="1">
        <f t="array" ref="H6">_xlfn.IFS(ISERROR((E6/D6)-1), "N.A", ((E6/D6)-1)&gt;1,"&gt;100.0%",((E6/D6)-1)&lt;-1,"&lt;-100.0%", ((E6/D6)-1),  ((E6/D6)-1))</f>
        <v>0.67340074743441836</v>
      </c>
      <c r="K6" s="28"/>
    </row>
    <row r="7" spans="2:11" x14ac:dyDescent="0.25">
      <c r="B7" s="53" t="s">
        <v>237</v>
      </c>
      <c r="C7" s="54">
        <f>SUM(C4:C6)</f>
        <v>22.515251444</v>
      </c>
      <c r="D7" s="54">
        <f t="shared" ref="D7:E7" si="0">SUM(D4:D6)</f>
        <v>26.032605005000001</v>
      </c>
      <c r="E7" s="54">
        <f t="shared" si="0"/>
        <v>26.314598263000001</v>
      </c>
      <c r="F7" s="43"/>
      <c r="G7" s="55" cm="1">
        <f t="array" ref="G7">_xlfn.IFS(ISERROR((D7/C7)-1), "N.A", ((D7/C7)-1)&gt;1,"&gt;100.0%",((D7/C7)-1)&lt;-1,"&lt;-100.0%", ((D7/C7)-1),  ((D7/C7)-1))</f>
        <v>0.15622093183140207</v>
      </c>
      <c r="H7" s="55" cm="1">
        <f t="array" ref="H7">_xlfn.IFS(ISERROR((E7/D7)-1), "N.A", ((E7/D7)-1)&gt;1,"&gt;100.0%",((E7/D7)-1)&lt;-1,"&lt;-100.0%", ((E7/D7)-1),  ((E7/D7)-1))</f>
        <v>1.0832310402506318E-2</v>
      </c>
      <c r="K7" s="28"/>
    </row>
    <row r="8" spans="2:11" x14ac:dyDescent="0.25">
      <c r="B8" s="43" t="s">
        <v>100</v>
      </c>
      <c r="C8" s="44">
        <f>SUMIF('2.1 Database'!$J$4:$J$108,'2.2 P&amp;L statement'!$B8,'2.1 Database'!F$4:F$108)/1000000</f>
        <v>-4.4289117640000004</v>
      </c>
      <c r="D8" s="44">
        <f>SUMIF('2.1 Database'!$J$4:$J$108,'2.2 P&amp;L statement'!$B8,'2.1 Database'!G$4:G$108)/1000000</f>
        <v>-5.4631888250000005</v>
      </c>
      <c r="E8" s="44">
        <f>SUMIF('2.1 Database'!$J$4:$J$108,'2.2 P&amp;L statement'!$B8,'2.1 Database'!H$4:H$108)/1000000</f>
        <v>-5.6741520669999996</v>
      </c>
      <c r="F8" s="43"/>
      <c r="G8" s="52" cm="1">
        <f t="array" ref="G8">_xlfn.IFS(ISERROR((D8/C8)-1), "N.A", ((D8/C8)-1)&gt;1,"&gt;100.0%",((D8/C8)-1)&lt;-1,"&lt;-100.0%", ((D8/C8)-1),  ((D8/C8)-1))</f>
        <v>0.23352848647991253</v>
      </c>
      <c r="H8" s="52" cm="1">
        <f t="array" ref="H8">_xlfn.IFS(ISERROR((E8/D8)-1), "N.A", ((E8/D8)-1)&gt;1,"&gt;100.0%",((E8/D8)-1)&lt;-1,"&lt;-100.0%", ((E8/D8)-1),  ((E8/D8)-1))</f>
        <v>3.861540370609462E-2</v>
      </c>
      <c r="K8" s="28"/>
    </row>
    <row r="9" spans="2:11" x14ac:dyDescent="0.25">
      <c r="B9" s="53" t="s">
        <v>238</v>
      </c>
      <c r="C9" s="54">
        <f>SUM(C7:C8)</f>
        <v>18.086339680000002</v>
      </c>
      <c r="D9" s="54">
        <f t="shared" ref="D9:E9" si="1">SUM(D7:D8)</f>
        <v>20.569416180000001</v>
      </c>
      <c r="E9" s="54">
        <f t="shared" si="1"/>
        <v>20.640446195999999</v>
      </c>
      <c r="F9" s="43"/>
      <c r="G9" s="55" cm="1">
        <f t="array" ref="G9">_xlfn.IFS(ISERROR((D9/C9)-1), "N.A", ((D9/C9)-1)&gt;1,"&gt;100.0%",((D9/C9)-1)&lt;-1,"&lt;-100.0%", ((D9/C9)-1),  ((D9/C9)-1))</f>
        <v>0.13729016174266606</v>
      </c>
      <c r="H9" s="55" cm="1">
        <f t="array" ref="H9">_xlfn.IFS(ISERROR((E9/D9)-1), "N.A", ((E9/D9)-1)&gt;1,"&gt;100.0%",((E9/D9)-1)&lt;-1,"&lt;-100.0%", ((E9/D9)-1),  ((E9/D9)-1))</f>
        <v>3.4531858064625887E-3</v>
      </c>
      <c r="K9" s="28"/>
    </row>
    <row r="10" spans="2:11" x14ac:dyDescent="0.25">
      <c r="B10" s="43" t="s">
        <v>226</v>
      </c>
      <c r="C10" s="44">
        <f>SUMIF('2.1 Database'!$J$4:$J$108,'2.2 P&amp;L statement'!$B10,'2.1 Database'!F$4:F$108)/1000000</f>
        <v>-3.3966489799999997</v>
      </c>
      <c r="D10" s="44">
        <f>SUMIF('2.1 Database'!$J$4:$J$108,'2.2 P&amp;L statement'!$B10,'2.1 Database'!G$4:G$108)/1000000</f>
        <v>-3.6809145449999998</v>
      </c>
      <c r="E10" s="44">
        <f>SUMIF('2.1 Database'!$J$4:$J$108,'2.2 P&amp;L statement'!$B10,'2.1 Database'!H$4:H$108)/1000000</f>
        <v>-6.6874830379999999</v>
      </c>
      <c r="F10" s="43"/>
      <c r="G10" s="52" cm="1">
        <f t="array" ref="G10">_xlfn.IFS(ISERROR((D10/C10)-1), "N.A", ((D10/C10)-1)&gt;1,"&gt;100.0%",((D10/C10)-1)&lt;-1,"&lt;-100.0%", ((D10/C10)-1),  ((D10/C10)-1))</f>
        <v>8.3690003492795428E-2</v>
      </c>
      <c r="H10" s="52" cm="1">
        <f t="array" ref="H10">_xlfn.IFS(ISERROR((E10/D10)-1), "N.A", ((E10/D10)-1)&gt;1,"&gt;100.0%",((E10/D10)-1)&lt;-1,"&lt;-100.0%", ((E10/D10)-1),  ((E10/D10)-1))</f>
        <v>0.81679931882254553</v>
      </c>
      <c r="K10" s="28"/>
    </row>
    <row r="11" spans="2:11" x14ac:dyDescent="0.25">
      <c r="B11" s="43" t="s">
        <v>227</v>
      </c>
      <c r="C11" s="44">
        <f>SUMIF('2.1 Database'!$J$4:$J$108,'2.2 P&amp;L statement'!$B11,'2.1 Database'!F$4:F$108)/1000000</f>
        <v>-6.17073904</v>
      </c>
      <c r="D11" s="44">
        <f>SUMIF('2.1 Database'!$J$4:$J$108,'2.2 P&amp;L statement'!$B11,'2.1 Database'!G$4:G$108)/1000000</f>
        <v>-8.0718589449999989</v>
      </c>
      <c r="E11" s="44">
        <f>SUMIF('2.1 Database'!$J$4:$J$108,'2.2 P&amp;L statement'!$B11,'2.1 Database'!H$4:H$108)/1000000</f>
        <v>-5.8358881759999992</v>
      </c>
      <c r="F11" s="43"/>
      <c r="G11" s="52" cm="1">
        <f t="array" ref="G11">_xlfn.IFS(ISERROR((D11/C11)-1), "N.A", ((D11/C11)-1)&gt;1,"&gt;100.0%",((D11/C11)-1)&lt;-1,"&lt;-100.0%", ((D11/C11)-1),  ((D11/C11)-1))</f>
        <v>0.30808625882192531</v>
      </c>
      <c r="H11" s="52" cm="1">
        <f t="array" ref="H11">_xlfn.IFS(ISERROR((E11/D11)-1), "N.A", ((E11/D11)-1)&gt;1,"&gt;100.0%",((E11/D11)-1)&lt;-1,"&lt;-100.0%", ((E11/D11)-1),  ((E11/D11)-1))</f>
        <v>-0.27700815688622027</v>
      </c>
      <c r="K11" s="28"/>
    </row>
    <row r="12" spans="2:11" x14ac:dyDescent="0.25">
      <c r="B12" s="43" t="s">
        <v>77</v>
      </c>
      <c r="C12" s="44">
        <f>SUMIF('2.1 Database'!$J$4:$J$108,'2.2 P&amp;L statement'!$B12,'2.1 Database'!F$4:F$108)/1000000</f>
        <v>-1.127445872</v>
      </c>
      <c r="D12" s="44">
        <f>SUMIF('2.1 Database'!$J$4:$J$108,'2.2 P&amp;L statement'!$B12,'2.1 Database'!G$4:G$108)/1000000</f>
        <v>-1.0553814750000001</v>
      </c>
      <c r="E12" s="44">
        <f>SUMIF('2.1 Database'!$J$4:$J$108,'2.2 P&amp;L statement'!$B12,'2.1 Database'!H$4:H$108)/1000000</f>
        <v>1.596053449</v>
      </c>
      <c r="F12" s="43"/>
      <c r="G12" s="52" cm="1">
        <f t="array" ref="G12">_xlfn.IFS(ISERROR((D12/C12)-1), "N.A", ((D12/C12)-1)&gt;1,"&gt;100.0%",((D12/C12)-1)&lt;-1,"&lt;-100.0%", ((D12/C12)-1),  ((D12/C12)-1))</f>
        <v>-6.391827651305626E-2</v>
      </c>
      <c r="H12" s="52" t="str" cm="1">
        <f t="array" ref="H12">_xlfn.IFS(ISERROR((E12/D12)-1), "N.A", ((E12/D12)-1)&gt;1,"&gt;100.0%",((E12/D12)-1)&lt;-1,"&lt;-100.0%", ((E12/D12)-1),  ((E12/D12)-1))</f>
        <v>&lt;-100.0%</v>
      </c>
      <c r="K12" s="28"/>
    </row>
    <row r="13" spans="2:11" x14ac:dyDescent="0.25">
      <c r="B13" s="43" t="s">
        <v>229</v>
      </c>
      <c r="C13" s="44">
        <f>SUMIF('2.1 Database'!$J$4:$J$108,'2.2 P&amp;L statement'!$B13,'2.1 Database'!F$4:F$108)/1000000</f>
        <v>-2.5430882079999995</v>
      </c>
      <c r="D13" s="44">
        <f>SUMIF('2.1 Database'!$J$4:$J$108,'2.2 P&amp;L statement'!$B13,'2.1 Database'!G$4:G$108)/1000000</f>
        <v>-1.837786345</v>
      </c>
      <c r="E13" s="44">
        <f>SUMIF('2.1 Database'!$J$4:$J$108,'2.2 P&amp;L statement'!$B13,'2.1 Database'!H$4:H$108)/1000000</f>
        <v>-1.9549839309999999</v>
      </c>
      <c r="F13" s="43"/>
      <c r="G13" s="52" cm="1">
        <f t="array" ref="G13">_xlfn.IFS(ISERROR((D13/C13)-1), "N.A", ((D13/C13)-1)&gt;1,"&gt;100.0%",((D13/C13)-1)&lt;-1,"&lt;-100.0%", ((D13/C13)-1),  ((D13/C13)-1))</f>
        <v>-0.27734069969782171</v>
      </c>
      <c r="H13" s="52" cm="1">
        <f t="array" ref="H13">_xlfn.IFS(ISERROR((E13/D13)-1), "N.A", ((E13/D13)-1)&gt;1,"&gt;100.0%",((E13/D13)-1)&lt;-1,"&lt;-100.0%", ((E13/D13)-1),  ((E13/D13)-1))</f>
        <v>6.3771061483210545E-2</v>
      </c>
      <c r="K13" s="28"/>
    </row>
    <row r="14" spans="2:11" x14ac:dyDescent="0.25">
      <c r="B14" s="43" t="s">
        <v>231</v>
      </c>
      <c r="C14" s="44">
        <f>SUMIF('2.1 Database'!$J$4:$J$108,'2.2 P&amp;L statement'!$B14,'2.1 Database'!F$4:F$108)/1000000</f>
        <v>-1.8135250039999999</v>
      </c>
      <c r="D14" s="44">
        <f>SUMIF('2.1 Database'!$J$4:$J$108,'2.2 P&amp;L statement'!$B14,'2.1 Database'!G$4:G$108)/1000000</f>
        <v>-2.41718799</v>
      </c>
      <c r="E14" s="44">
        <f>SUMIF('2.1 Database'!$J$4:$J$108,'2.2 P&amp;L statement'!$B14,'2.1 Database'!H$4:H$108)/1000000</f>
        <v>-2.5144318869999998</v>
      </c>
      <c r="F14" s="43"/>
      <c r="G14" s="52" cm="1">
        <f t="array" ref="G14">_xlfn.IFS(ISERROR((D14/C14)-1), "N.A", ((D14/C14)-1)&gt;1,"&gt;100.0%",((D14/C14)-1)&lt;-1,"&lt;-100.0%", ((D14/C14)-1),  ((D14/C14)-1))</f>
        <v>0.3328671976777442</v>
      </c>
      <c r="H14" s="52" cm="1">
        <f t="array" ref="H14">_xlfn.IFS(ISERROR((E14/D14)-1), "N.A", ((E14/D14)-1)&gt;1,"&gt;100.0%",((E14/D14)-1)&lt;-1,"&lt;-100.0%", ((E14/D14)-1),  ((E14/D14)-1))</f>
        <v>4.0230175477580454E-2</v>
      </c>
      <c r="K14" s="28"/>
    </row>
    <row r="15" spans="2:11" x14ac:dyDescent="0.25">
      <c r="B15" s="43" t="s">
        <v>74</v>
      </c>
      <c r="C15" s="44">
        <f>SUMIF('2.1 Database'!$J$4:$J$108,'2.2 P&amp;L statement'!$B15,'2.1 Database'!F$4:F$108)/1000000</f>
        <v>5.7221999999999995E-5</v>
      </c>
      <c r="D15" s="44">
        <f>SUMIF('2.1 Database'!$J$4:$J$108,'2.2 P&amp;L statement'!$B15,'2.1 Database'!G$4:G$108)/1000000</f>
        <v>-7.3574899999999995E-3</v>
      </c>
      <c r="E15" s="44">
        <f>SUMIF('2.1 Database'!$J$4:$J$108,'2.2 P&amp;L statement'!$B15,'2.1 Database'!H$4:H$108)/1000000</f>
        <v>4.678542799999999E-2</v>
      </c>
      <c r="F15" s="43"/>
      <c r="G15" s="52" t="str" cm="1">
        <f t="array" ref="G15">_xlfn.IFS(ISERROR((D15/C15)-1), "N.A", ((D15/C15)-1)&gt;1,"&gt;100.0%",((D15/C15)-1)&lt;-1,"&lt;-100.0%", ((D15/C15)-1),  ((D15/C15)-1))</f>
        <v>&lt;-100.0%</v>
      </c>
      <c r="H15" s="52" t="str" cm="1">
        <f t="array" ref="H15">_xlfn.IFS(ISERROR((E15/D15)-1), "N.A", ((E15/D15)-1)&gt;1,"&gt;100.0%",((E15/D15)-1)&lt;-1,"&lt;-100.0%", ((E15/D15)-1),  ((E15/D15)-1))</f>
        <v>&lt;-100.0%</v>
      </c>
      <c r="K15" s="28"/>
    </row>
    <row r="16" spans="2:11" x14ac:dyDescent="0.25">
      <c r="B16" s="43" t="s">
        <v>67</v>
      </c>
      <c r="C16" s="44">
        <f>SUMIF('2.1 Database'!$J$4:$J$108,'2.2 P&amp;L statement'!$B16,'2.1 Database'!F$4:F$108)/1000000</f>
        <v>5.2683321979999995</v>
      </c>
      <c r="D16" s="44">
        <f>SUMIF('2.1 Database'!$J$4:$J$108,'2.2 P&amp;L statement'!$B16,'2.1 Database'!G$4:G$108)/1000000</f>
        <v>0.74482694999999999</v>
      </c>
      <c r="E16" s="44">
        <f>SUMIF('2.1 Database'!$J$4:$J$108,'2.2 P&amp;L statement'!$B16,'2.1 Database'!H$4:H$108)/1000000</f>
        <v>0</v>
      </c>
      <c r="F16" s="43"/>
      <c r="G16" s="52" cm="1">
        <f t="array" ref="G16">_xlfn.IFS(ISERROR((D16/C16)-1), "N.A", ((D16/C16)-1)&gt;1,"&gt;100.0%",((D16/C16)-1)&lt;-1,"&lt;-100.0%", ((D16/C16)-1),  ((D16/C16)-1))</f>
        <v>-0.85862187082986985</v>
      </c>
      <c r="H16" s="52" cm="1">
        <f t="array" ref="H16">_xlfn.IFS(ISERROR((E16/D16)-1), "N.A", ((E16/D16)-1)&gt;1,"&gt;100.0%",((E16/D16)-1)&lt;-1,"&lt;-100.0%", ((E16/D16)-1),  ((E16/D16)-1))</f>
        <v>-1</v>
      </c>
      <c r="K16" s="28"/>
    </row>
    <row r="17" spans="2:11" x14ac:dyDescent="0.25">
      <c r="B17" s="56" t="s">
        <v>239</v>
      </c>
      <c r="C17" s="57">
        <f>SUM(C9:C16)</f>
        <v>8.3032819960000026</v>
      </c>
      <c r="D17" s="57">
        <f>SUM(D9:D16)</f>
        <v>4.2437563400000018</v>
      </c>
      <c r="E17" s="57">
        <f>SUM(E9:E16)</f>
        <v>5.2904980409999993</v>
      </c>
      <c r="F17" s="43"/>
      <c r="G17" s="58" cm="1">
        <f t="array" ref="G17">_xlfn.IFS(ISERROR((D17/C17)-1), "N.A", ((D17/C17)-1)&gt;1,"&gt;100.0%",((D17/C17)-1)&lt;-1,"&lt;-100.0%", ((D17/C17)-1),  ((D17/C17)-1))</f>
        <v>-0.48890615276653548</v>
      </c>
      <c r="H17" s="58" cm="1">
        <f t="array" ref="H17">_xlfn.IFS(ISERROR((E17/D17)-1), "N.A", ((E17/D17)-1)&gt;1,"&gt;100.0%",((E17/D17)-1)&lt;-1,"&lt;-100.0%", ((E17/D17)-1),  ((E17/D17)-1))</f>
        <v>0.24665452423217982</v>
      </c>
      <c r="K17" s="28"/>
    </row>
    <row r="18" spans="2:11" x14ac:dyDescent="0.25">
      <c r="B18" s="43" t="s">
        <v>72</v>
      </c>
      <c r="C18" s="44">
        <f>SUMIF('2.1 Database'!$J$4:$J$108,'2.2 P&amp;L statement'!$B18,'2.1 Database'!F$4:F$108)/1000000</f>
        <v>-2.045243514</v>
      </c>
      <c r="D18" s="44">
        <f>SUMIF('2.1 Database'!$J$4:$J$108,'2.2 P&amp;L statement'!$B18,'2.1 Database'!G$4:G$108)/1000000</f>
        <v>-2.0440058150000002</v>
      </c>
      <c r="E18" s="44">
        <f>SUMIF('2.1 Database'!$J$4:$J$108,'2.2 P&amp;L statement'!$B18,'2.1 Database'!H$4:H$108)/1000000</f>
        <v>-1.8883615140000001</v>
      </c>
      <c r="F18" s="43"/>
      <c r="G18" s="52" cm="1">
        <f t="array" ref="G18">_xlfn.IFS(ISERROR((D18/C18)-1), "N.A", ((D18/C18)-1)&gt;1,"&gt;100.0%",((D18/C18)-1)&lt;-1,"&lt;-100.0%", ((D18/C18)-1),  ((D18/C18)-1))</f>
        <v>-6.0515972378227811E-4</v>
      </c>
      <c r="H18" s="52" cm="1">
        <f t="array" ref="H18">_xlfn.IFS(ISERROR((E18/D18)-1), "N.A", ((E18/D18)-1)&gt;1,"&gt;100.0%",((E18/D18)-1)&lt;-1,"&lt;-100.0%", ((E18/D18)-1),  ((E18/D18)-1))</f>
        <v>-7.6146701666795491E-2</v>
      </c>
      <c r="K18" s="28"/>
    </row>
    <row r="19" spans="2:11" x14ac:dyDescent="0.25">
      <c r="B19" s="53" t="s">
        <v>240</v>
      </c>
      <c r="C19" s="59">
        <f>SUM(C17:C18)</f>
        <v>6.2580384820000026</v>
      </c>
      <c r="D19" s="59">
        <f t="shared" ref="D19:E19" si="2">SUM(D17:D18)</f>
        <v>2.1997505250000016</v>
      </c>
      <c r="E19" s="59">
        <f t="shared" si="2"/>
        <v>3.4021365269999992</v>
      </c>
      <c r="F19" s="43"/>
      <c r="G19" s="55" cm="1">
        <f t="array" ref="G19">_xlfn.IFS(ISERROR((D19/C19)-1), "N.A", ((D19/C19)-1)&gt;1,"&gt;100.0%",((D19/C19)-1)&lt;-1,"&lt;-100.0%", ((D19/C19)-1),  ((D19/C19)-1))</f>
        <v>-0.64849201050342775</v>
      </c>
      <c r="H19" s="55" cm="1">
        <f t="array" ref="H19">_xlfn.IFS(ISERROR((E19/D19)-1), "N.A", ((E19/D19)-1)&gt;1,"&gt;100.0%",((E19/D19)-1)&lt;-1,"&lt;-100.0%", ((E19/D19)-1),  ((E19/D19)-1))</f>
        <v>0.54660107513782585</v>
      </c>
      <c r="K19" s="28"/>
    </row>
    <row r="20" spans="2:11" x14ac:dyDescent="0.25">
      <c r="B20" s="43" t="s">
        <v>230</v>
      </c>
      <c r="C20" s="44">
        <f>SUMIF('2.1 Database'!$J$4:$J$108,'2.2 P&amp;L statement'!$B20,'2.1 Database'!F$4:F$108)/1000000</f>
        <v>-2.8426923660000001</v>
      </c>
      <c r="D20" s="44">
        <f>SUMIF('2.1 Database'!$J$4:$J$108,'2.2 P&amp;L statement'!$B20,'2.1 Database'!G$4:G$108)/1000000</f>
        <v>-2.7107469200000001</v>
      </c>
      <c r="E20" s="44">
        <f>SUMIF('2.1 Database'!$J$4:$J$108,'2.2 P&amp;L statement'!$B20,'2.1 Database'!H$4:H$108)/1000000</f>
        <v>-2.250707829</v>
      </c>
      <c r="F20" s="43"/>
      <c r="G20" s="52" cm="1">
        <f t="array" ref="G20">_xlfn.IFS(ISERROR((D20/C20)-1), "N.A", ((D20/C20)-1)&gt;1,"&gt;100.0%",((D20/C20)-1)&lt;-1,"&lt;-100.0%", ((D20/C20)-1),  ((D20/C20)-1))</f>
        <v>-4.6415661285805099E-2</v>
      </c>
      <c r="H20" s="52" cm="1">
        <f t="array" ref="H20">_xlfn.IFS(ISERROR((E20/D20)-1), "N.A", ((E20/D20)-1)&gt;1,"&gt;100.0%",((E20/D20)-1)&lt;-1,"&lt;-100.0%", ((E20/D20)-1),  ((E20/D20)-1))</f>
        <v>-0.16970934748862498</v>
      </c>
      <c r="K20" s="28"/>
    </row>
    <row r="21" spans="2:11" x14ac:dyDescent="0.25">
      <c r="B21" s="43" t="s">
        <v>232</v>
      </c>
      <c r="C21" s="44">
        <f>SUMIF('2.1 Database'!$J$4:$J$108,'2.2 P&amp;L statement'!$B21,'2.1 Database'!F$4:F$108)/1000000</f>
        <v>-2.2762999999999999E-2</v>
      </c>
      <c r="D21" s="44">
        <f>SUMIF('2.1 Database'!$J$4:$J$108,'2.2 P&amp;L statement'!$B21,'2.1 Database'!G$4:G$108)/1000000</f>
        <v>-4.5786198000000002</v>
      </c>
      <c r="E21" s="44">
        <f>SUMIF('2.1 Database'!$J$4:$J$108,'2.2 P&amp;L statement'!$B21,'2.1 Database'!H$4:H$108)/1000000</f>
        <v>-7.1731959999999989E-3</v>
      </c>
      <c r="F21" s="43"/>
      <c r="G21" s="52" t="str" cm="1">
        <f t="array" ref="G21">_xlfn.IFS(ISERROR((D21/C21)-1), "N.A", ((D21/C21)-1)&gt;1,"&gt;100.0%",((D21/C21)-1)&lt;-1,"&lt;-100.0%", ((D21/C21)-1),  ((D21/C21)-1))</f>
        <v>&gt;100.0%</v>
      </c>
      <c r="H21" s="52" cm="1">
        <f t="array" ref="H21">_xlfn.IFS(ISERROR((E21/D21)-1), "N.A", ((E21/D21)-1)&gt;1,"&gt;100.0%",((E21/D21)-1)&lt;-1,"&lt;-100.0%", ((E21/D21)-1),  ((E21/D21)-1))</f>
        <v>-0.99843332787754069</v>
      </c>
      <c r="K21" s="28"/>
    </row>
    <row r="22" spans="2:11" x14ac:dyDescent="0.25">
      <c r="B22" s="53" t="s">
        <v>241</v>
      </c>
      <c r="C22" s="59">
        <f>SUM(C19:C21)</f>
        <v>3.3925831160000026</v>
      </c>
      <c r="D22" s="59">
        <f t="shared" ref="D22:E22" si="3">SUM(D19:D21)</f>
        <v>-5.0896161949999987</v>
      </c>
      <c r="E22" s="59">
        <f t="shared" si="3"/>
        <v>1.1442555019999991</v>
      </c>
      <c r="F22" s="43"/>
      <c r="G22" s="55" t="str" cm="1">
        <f t="array" ref="G22">_xlfn.IFS(ISERROR((D22/C22)-1), "N.A", ((D22/C22)-1)&gt;1,"&gt;100.0%",((D22/C22)-1)&lt;-1,"&lt;-100.0%", ((D22/C22)-1),  ((D22/C22)-1))</f>
        <v>&lt;-100.0%</v>
      </c>
      <c r="H22" s="55" t="str" cm="1">
        <f t="array" ref="H22">_xlfn.IFS(ISERROR((E22/D22)-1), "N.A", ((E22/D22)-1)&gt;1,"&gt;100.0%",((E22/D22)-1)&lt;-1,"&lt;-100.0%", ((E22/D22)-1),  ((E22/D22)-1))</f>
        <v>&lt;-100.0%</v>
      </c>
      <c r="K22" s="28"/>
    </row>
    <row r="23" spans="2:11" x14ac:dyDescent="0.25">
      <c r="B23" s="43" t="s">
        <v>233</v>
      </c>
      <c r="C23" s="44">
        <f>SUMIF('2.1 Database'!$J$4:$J$108,'2.2 P&amp;L statement'!$B23,'2.1 Database'!F$4:F$108)/1000000</f>
        <v>-0.48846512199999997</v>
      </c>
      <c r="D23" s="44">
        <f>SUMIF('2.1 Database'!$J$4:$J$108,'2.2 P&amp;L statement'!$B23,'2.1 Database'!G$4:G$108)/1000000</f>
        <v>-0.98419196500000017</v>
      </c>
      <c r="E23" s="44">
        <f>SUMIF('2.1 Database'!$J$4:$J$108,'2.2 P&amp;L statement'!$B23,'2.1 Database'!H$4:H$108)/1000000</f>
        <v>-0.36496502599999997</v>
      </c>
      <c r="F23" s="43"/>
      <c r="G23" s="52" t="str" cm="1">
        <f t="array" ref="G23">_xlfn.IFS(ISERROR((D23/C23)-1), "N.A", ((D23/C23)-1)&gt;1,"&gt;100.0%",((D23/C23)-1)&lt;-1,"&lt;-100.0%", ((D23/C23)-1),  ((D23/C23)-1))</f>
        <v>&gt;100.0%</v>
      </c>
      <c r="H23" s="52" cm="1">
        <f t="array" ref="H23">_xlfn.IFS(ISERROR((E23/D23)-1), "N.A", ((E23/D23)-1)&gt;1,"&gt;100.0%",((E23/D23)-1)&lt;-1,"&lt;-100.0%", ((E23/D23)-1),  ((E23/D23)-1))</f>
        <v>-0.62917292664546398</v>
      </c>
      <c r="K23" s="28"/>
    </row>
    <row r="24" spans="2:11" ht="14.4" thickBot="1" x14ac:dyDescent="0.3">
      <c r="B24" s="60" t="s">
        <v>234</v>
      </c>
      <c r="C24" s="61">
        <f>SUM(C22:C23)</f>
        <v>2.9041179940000026</v>
      </c>
      <c r="D24" s="61">
        <f t="shared" ref="D24:E24" si="4">SUM(D22:D23)</f>
        <v>-6.0738081599999987</v>
      </c>
      <c r="E24" s="61">
        <f t="shared" si="4"/>
        <v>0.77929047599999923</v>
      </c>
      <c r="F24" s="43"/>
      <c r="G24" s="62" t="str" cm="1">
        <f t="array" ref="G24">_xlfn.IFS(ISERROR((D24/C24)-1), "N.A", ((D24/C24)-1)&gt;1,"&gt;100.0%",((D24/C24)-1)&lt;-1,"&lt;-100.0%", ((D24/C24)-1),  ((D24/C24)-1))</f>
        <v>&lt;-100.0%</v>
      </c>
      <c r="H24" s="62" t="str" cm="1">
        <f t="array" ref="H24">_xlfn.IFS(ISERROR((E24/D24)-1), "N.A", ((E24/D24)-1)&gt;1,"&gt;100.0%",((E24/D24)-1)&lt;-1,"&lt;-100.0%", ((E24/D24)-1),  ((E24/D24)-1))</f>
        <v>&lt;-100.0%</v>
      </c>
      <c r="K24" s="28"/>
    </row>
    <row r="25" spans="2:11" x14ac:dyDescent="0.25">
      <c r="K25" s="28"/>
    </row>
    <row r="26" spans="2:11" x14ac:dyDescent="0.25">
      <c r="B26" s="2" t="s">
        <v>234</v>
      </c>
      <c r="C26" s="34">
        <f>SUMIF('2.1 Database'!$J$4:$J$108,'2.2 P&amp;L statement'!$B26,'2.1 Database'!F$4:F$108)/1000000</f>
        <v>-2.9041179939999986</v>
      </c>
      <c r="D26" s="34">
        <f>SUMIF('2.1 Database'!$J$4:$J$108,'2.2 P&amp;L statement'!$B26,'2.1 Database'!G$4:G$108)/1000000</f>
        <v>6.0738081600000005</v>
      </c>
      <c r="E26" s="34">
        <f>SUMIF('2.1 Database'!$J$4:$J$108,'2.2 P&amp;L statement'!$B26,'2.1 Database'!H$4:H$108)/1000000</f>
        <v>-0.77929047600000001</v>
      </c>
    </row>
    <row r="27" spans="2:11" x14ac:dyDescent="0.25">
      <c r="B27" s="35" t="s">
        <v>245</v>
      </c>
      <c r="C27" s="36">
        <f>ROUND(SUM(C24,C26),9)</f>
        <v>0</v>
      </c>
      <c r="D27" s="36">
        <f t="shared" ref="D27:E27" si="5">ROUND(SUM(D24,D26),9)</f>
        <v>0</v>
      </c>
      <c r="E27" s="36">
        <f t="shared" si="5"/>
        <v>0</v>
      </c>
    </row>
    <row r="29" spans="2:11" x14ac:dyDescent="0.25">
      <c r="B29" s="37" t="s">
        <v>248</v>
      </c>
      <c r="C29" s="37"/>
      <c r="D29" s="37"/>
      <c r="E29" s="37"/>
    </row>
    <row r="30" spans="2:11" x14ac:dyDescent="0.25">
      <c r="B30" s="37" t="s">
        <v>249</v>
      </c>
      <c r="C30" s="38">
        <f>C9/C7</f>
        <v>0.80329281353949789</v>
      </c>
      <c r="D30" s="38">
        <f t="shared" ref="D30:E30" si="6">D9/D7</f>
        <v>0.79014052477841912</v>
      </c>
      <c r="E30" s="38">
        <f t="shared" si="6"/>
        <v>0.78437246085651935</v>
      </c>
    </row>
    <row r="31" spans="2:11" x14ac:dyDescent="0.25">
      <c r="B31" s="37" t="s">
        <v>250</v>
      </c>
      <c r="C31" s="38">
        <f>C17/C7</f>
        <v>0.36878477758296191</v>
      </c>
      <c r="D31" s="38">
        <f t="shared" ref="D31:E31" si="7">D17/D7</f>
        <v>0.16301696811306118</v>
      </c>
      <c r="E31" s="38">
        <f t="shared" si="7"/>
        <v>0.20104802619916018</v>
      </c>
    </row>
    <row r="32" spans="2:11" x14ac:dyDescent="0.25">
      <c r="B32" s="37" t="s">
        <v>251</v>
      </c>
      <c r="C32" s="38">
        <f>C19/C7</f>
        <v>0.2779466397506159</v>
      </c>
      <c r="D32" s="38">
        <f t="shared" ref="D32:E32" si="8">D19/D7</f>
        <v>8.4499823378317393E-2</v>
      </c>
      <c r="E32" s="38">
        <f t="shared" si="8"/>
        <v>0.12928704033394345</v>
      </c>
    </row>
  </sheetData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8EADE07-4289-459C-B66C-466CFA16906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'2.2 P&amp;L statement'!C4:E4</xm:f>
              <xm:sqref>J4</xm:sqref>
            </x14:sparkline>
            <x14:sparkline>
              <xm:f>'2.2 P&amp;L statement'!C5:E5</xm:f>
              <xm:sqref>J5</xm:sqref>
            </x14:sparkline>
            <x14:sparkline>
              <xm:f>'2.2 P&amp;L statement'!C6:E6</xm:f>
              <xm:sqref>J6</xm:sqref>
            </x14:sparkline>
            <x14:sparkline>
              <xm:f>'2.2 P&amp;L statement'!C7:E7</xm:f>
              <xm:sqref>J7</xm:sqref>
            </x14:sparkline>
            <x14:sparkline>
              <xm:f>'2.2 P&amp;L statement'!C8:E8</xm:f>
              <xm:sqref>J8</xm:sqref>
            </x14:sparkline>
            <x14:sparkline>
              <xm:f>'2.2 P&amp;L statement'!C9:E9</xm:f>
              <xm:sqref>J9</xm:sqref>
            </x14:sparkline>
            <x14:sparkline>
              <xm:f>'2.2 P&amp;L statement'!C10:E10</xm:f>
              <xm:sqref>J10</xm:sqref>
            </x14:sparkline>
            <x14:sparkline>
              <xm:f>'2.2 P&amp;L statement'!C11:E11</xm:f>
              <xm:sqref>J11</xm:sqref>
            </x14:sparkline>
            <x14:sparkline>
              <xm:f>'2.2 P&amp;L statement'!C12:E12</xm:f>
              <xm:sqref>J12</xm:sqref>
            </x14:sparkline>
            <x14:sparkline>
              <xm:f>'2.2 P&amp;L statement'!C13:E13</xm:f>
              <xm:sqref>J13</xm:sqref>
            </x14:sparkline>
            <x14:sparkline>
              <xm:f>'2.2 P&amp;L statement'!C14:E14</xm:f>
              <xm:sqref>J14</xm:sqref>
            </x14:sparkline>
            <x14:sparkline>
              <xm:f>'2.2 P&amp;L statement'!C15:E15</xm:f>
              <xm:sqref>J15</xm:sqref>
            </x14:sparkline>
            <x14:sparkline>
              <xm:f>'2.2 P&amp;L statement'!C16:E16</xm:f>
              <xm:sqref>J16</xm:sqref>
            </x14:sparkline>
            <x14:sparkline>
              <xm:f>'2.2 P&amp;L statement'!C17:E17</xm:f>
              <xm:sqref>J17</xm:sqref>
            </x14:sparkline>
            <x14:sparkline>
              <xm:f>'2.2 P&amp;L statement'!C18:E18</xm:f>
              <xm:sqref>J18</xm:sqref>
            </x14:sparkline>
            <x14:sparkline>
              <xm:f>'2.2 P&amp;L statement'!C19:E19</xm:f>
              <xm:sqref>J19</xm:sqref>
            </x14:sparkline>
            <x14:sparkline>
              <xm:f>'2.2 P&amp;L statement'!C20:E20</xm:f>
              <xm:sqref>J20</xm:sqref>
            </x14:sparkline>
            <x14:sparkline>
              <xm:f>'2.2 P&amp;L statement'!C21:E21</xm:f>
              <xm:sqref>J21</xm:sqref>
            </x14:sparkline>
            <x14:sparkline>
              <xm:f>'2.2 P&amp;L statement'!C22:E22</xm:f>
              <xm:sqref>J22</xm:sqref>
            </x14:sparkline>
            <x14:sparkline>
              <xm:f>'2.2 P&amp;L statement'!C23:E23</xm:f>
              <xm:sqref>J23</xm:sqref>
            </x14:sparkline>
            <x14:sparkline>
              <xm:f>'2.2 P&amp;L statement'!C24:E24</xm:f>
              <xm:sqref>J24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9"/>
  <sheetViews>
    <sheetView workbookViewId="0">
      <selection activeCell="O25" sqref="O25"/>
    </sheetView>
  </sheetViews>
  <sheetFormatPr defaultRowHeight="11.4" x14ac:dyDescent="0.2"/>
  <cols>
    <col min="1" max="1" width="2" style="2" customWidth="1"/>
    <col min="2" max="2" width="21" style="2" customWidth="1"/>
    <col min="3" max="16384" width="8.88671875" style="2"/>
  </cols>
  <sheetData>
    <row r="1" spans="2:5" ht="22.8" x14ac:dyDescent="0.4">
      <c r="B1" s="39" t="s">
        <v>252</v>
      </c>
    </row>
    <row r="4" spans="2:5" x14ac:dyDescent="0.2">
      <c r="B4" s="2" t="s">
        <v>225</v>
      </c>
      <c r="C4" s="32">
        <v>14.500341000000001</v>
      </c>
      <c r="D4" s="32">
        <v>16.148295364999999</v>
      </c>
      <c r="E4" s="32">
        <v>15.047803019</v>
      </c>
    </row>
    <row r="5" spans="2:5" x14ac:dyDescent="0.2">
      <c r="B5" s="2" t="s">
        <v>100</v>
      </c>
      <c r="C5" s="32">
        <v>-4.4289117640000004</v>
      </c>
      <c r="D5" s="32">
        <v>-5.4631888250000005</v>
      </c>
      <c r="E5" s="32">
        <v>-5.6741520669999996</v>
      </c>
    </row>
    <row r="6" spans="2:5" x14ac:dyDescent="0.2">
      <c r="B6" s="2" t="s">
        <v>226</v>
      </c>
      <c r="C6" s="32">
        <v>-3.3966489799999997</v>
      </c>
      <c r="D6" s="32">
        <v>-3.6809145449999998</v>
      </c>
      <c r="E6" s="32">
        <v>-6.6874830379999999</v>
      </c>
    </row>
    <row r="7" spans="2:5" x14ac:dyDescent="0.2">
      <c r="B7" s="2" t="s">
        <v>227</v>
      </c>
      <c r="C7" s="32">
        <v>-6.17073904</v>
      </c>
      <c r="D7" s="32">
        <v>-8.0718589449999989</v>
      </c>
      <c r="E7" s="32">
        <v>-5.8358881759999992</v>
      </c>
    </row>
    <row r="8" spans="2:5" x14ac:dyDescent="0.2">
      <c r="B8" s="2" t="s">
        <v>74</v>
      </c>
      <c r="C8" s="32">
        <v>5.7221999999999995E-5</v>
      </c>
      <c r="D8" s="32">
        <v>-7.3574899999999995E-3</v>
      </c>
      <c r="E8" s="32">
        <v>4.678542799999999E-2</v>
      </c>
    </row>
    <row r="9" spans="2:5" ht="12" x14ac:dyDescent="0.25">
      <c r="B9" s="11" t="s">
        <v>239</v>
      </c>
      <c r="C9" s="33">
        <v>8.3032819960000026</v>
      </c>
      <c r="D9" s="33">
        <v>4.2437563400000018</v>
      </c>
      <c r="E9" s="33">
        <v>5.2904980409999993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E7"/>
  <sheetViews>
    <sheetView workbookViewId="0"/>
  </sheetViews>
  <sheetFormatPr defaultRowHeight="14.4" x14ac:dyDescent="0.3"/>
  <cols>
    <col min="1" max="1" width="2" style="1" customWidth="1"/>
    <col min="2" max="2" width="17" style="1" customWidth="1"/>
    <col min="3" max="3" width="10.5546875" style="1" customWidth="1"/>
    <col min="4" max="4" width="9.88671875" style="1" customWidth="1"/>
    <col min="5" max="5" width="10.88671875" style="1" customWidth="1"/>
    <col min="6" max="16384" width="8.88671875" style="1"/>
  </cols>
  <sheetData>
    <row r="1" spans="2:5" ht="22.8" x14ac:dyDescent="0.4">
      <c r="B1" s="27" t="s">
        <v>264</v>
      </c>
    </row>
    <row r="3" spans="2:5" ht="15" thickBot="1" x14ac:dyDescent="0.35">
      <c r="C3" s="30" t="s">
        <v>242</v>
      </c>
      <c r="D3" s="30" t="s">
        <v>243</v>
      </c>
      <c r="E3" s="30" t="s">
        <v>244</v>
      </c>
    </row>
    <row r="4" spans="2:5" ht="15.6" x14ac:dyDescent="0.3">
      <c r="B4" s="41" t="s">
        <v>225</v>
      </c>
      <c r="C4" s="32">
        <v>14.500341000000001</v>
      </c>
      <c r="D4" s="32">
        <v>16.148295364999999</v>
      </c>
      <c r="E4" s="32">
        <v>15.047803019</v>
      </c>
    </row>
    <row r="5" spans="2:5" ht="15.6" x14ac:dyDescent="0.3">
      <c r="B5" s="41" t="s">
        <v>66</v>
      </c>
      <c r="C5" s="32">
        <v>4.7948561920000001</v>
      </c>
      <c r="D5" s="32">
        <v>6.9602176449999993</v>
      </c>
      <c r="E5" s="32">
        <v>6.3736175140000002</v>
      </c>
    </row>
    <row r="6" spans="2:5" ht="15.6" x14ac:dyDescent="0.3">
      <c r="B6" s="41" t="s">
        <v>228</v>
      </c>
      <c r="C6" s="32">
        <v>3.2200542519999997</v>
      </c>
      <c r="D6" s="32">
        <v>2.9240919949999999</v>
      </c>
      <c r="E6" s="32">
        <v>4.8931777299999997</v>
      </c>
    </row>
    <row r="7" spans="2:5" ht="15.6" x14ac:dyDescent="0.3">
      <c r="B7" s="40" t="s">
        <v>254</v>
      </c>
      <c r="C7" s="38">
        <v>0.80329281353949789</v>
      </c>
      <c r="D7" s="38">
        <v>0.79014052477841912</v>
      </c>
      <c r="E7" s="38">
        <v>0.78437246085651935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6"/>
  <sheetViews>
    <sheetView workbookViewId="0">
      <selection activeCell="B1" sqref="B1"/>
    </sheetView>
  </sheetViews>
  <sheetFormatPr defaultRowHeight="13.8" x14ac:dyDescent="0.25"/>
  <cols>
    <col min="1" max="1" width="2" style="26" customWidth="1"/>
    <col min="2" max="2" width="14.77734375" style="26" customWidth="1"/>
    <col min="3" max="3" width="13.88671875" style="26" customWidth="1"/>
    <col min="4" max="4" width="12.33203125" style="26" customWidth="1"/>
    <col min="5" max="5" width="13.5546875" style="26" customWidth="1"/>
    <col min="6" max="16384" width="8.88671875" style="26"/>
  </cols>
  <sheetData>
    <row r="1" spans="2:5" ht="24.6" x14ac:dyDescent="0.4">
      <c r="B1" s="42" t="s">
        <v>255</v>
      </c>
    </row>
    <row r="3" spans="2:5" ht="14.4" thickBot="1" x14ac:dyDescent="0.3">
      <c r="C3" s="30" t="s">
        <v>242</v>
      </c>
      <c r="D3" s="30" t="s">
        <v>243</v>
      </c>
      <c r="E3" s="30" t="s">
        <v>244</v>
      </c>
    </row>
    <row r="4" spans="2:5" x14ac:dyDescent="0.25">
      <c r="B4" s="26" t="s">
        <v>225</v>
      </c>
      <c r="C4" s="45">
        <v>14.500341000000001</v>
      </c>
      <c r="D4" s="45">
        <v>16.148295364999999</v>
      </c>
      <c r="E4" s="45">
        <v>15.047803019</v>
      </c>
    </row>
    <row r="5" spans="2:5" x14ac:dyDescent="0.25">
      <c r="B5" s="26" t="s">
        <v>66</v>
      </c>
      <c r="C5" s="45">
        <v>4.7948561920000001</v>
      </c>
      <c r="D5" s="45">
        <v>6.9602176449999993</v>
      </c>
      <c r="E5" s="45">
        <v>6.3736175140000002</v>
      </c>
    </row>
    <row r="6" spans="2:5" x14ac:dyDescent="0.25">
      <c r="B6" s="26" t="s">
        <v>228</v>
      </c>
      <c r="C6" s="45">
        <v>3.2200542519999997</v>
      </c>
      <c r="D6" s="45">
        <v>2.9240919949999999</v>
      </c>
      <c r="E6" s="45">
        <v>4.8931777299999997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5"/>
  <sheetViews>
    <sheetView workbookViewId="0">
      <selection activeCell="B1" sqref="B1"/>
    </sheetView>
  </sheetViews>
  <sheetFormatPr defaultRowHeight="13.8" x14ac:dyDescent="0.25"/>
  <cols>
    <col min="1" max="1" width="2" style="26" customWidth="1"/>
    <col min="2" max="2" width="20.21875" style="26" customWidth="1"/>
    <col min="3" max="3" width="11.88671875" style="26" customWidth="1"/>
    <col min="4" max="4" width="11.6640625" style="26" customWidth="1"/>
    <col min="5" max="5" width="12.77734375" style="26" customWidth="1"/>
    <col min="6" max="16384" width="8.88671875" style="26"/>
  </cols>
  <sheetData>
    <row r="1" spans="2:5" ht="22.8" x14ac:dyDescent="0.4">
      <c r="B1" s="27" t="s">
        <v>256</v>
      </c>
    </row>
    <row r="3" spans="2:5" ht="14.4" thickBot="1" x14ac:dyDescent="0.3">
      <c r="C3" s="30" t="s">
        <v>242</v>
      </c>
      <c r="D3" s="30" t="s">
        <v>243</v>
      </c>
      <c r="E3" s="30" t="s">
        <v>244</v>
      </c>
    </row>
    <row r="4" spans="2:5" x14ac:dyDescent="0.25">
      <c r="B4" s="26" t="s">
        <v>257</v>
      </c>
      <c r="C4" s="45">
        <f>SUM('2.2 P&amp;L statement'!C4:C6)</f>
        <v>22.515251444</v>
      </c>
      <c r="D4" s="45">
        <f>SUM('2.2 P&amp;L statement'!D4:D6)</f>
        <v>26.032605005000001</v>
      </c>
      <c r="E4" s="45">
        <f>SUM('2.2 P&amp;L statement'!E4:E6)</f>
        <v>26.314598263000001</v>
      </c>
    </row>
    <row r="5" spans="2:5" x14ac:dyDescent="0.25">
      <c r="B5" s="26" t="s">
        <v>258</v>
      </c>
      <c r="C5" s="48">
        <v>0.80329281353949789</v>
      </c>
      <c r="D5" s="48">
        <v>0.79014052477841912</v>
      </c>
      <c r="E5" s="48">
        <v>0.78437246085651935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A2DCB-CD86-4687-9FCB-84ACF4F035AE}">
  <dimension ref="B1:E10"/>
  <sheetViews>
    <sheetView workbookViewId="0">
      <selection activeCell="Q8" sqref="Q8"/>
    </sheetView>
  </sheetViews>
  <sheetFormatPr defaultRowHeight="13.8" x14ac:dyDescent="0.25"/>
  <cols>
    <col min="1" max="1" width="2" style="26" customWidth="1"/>
    <col min="2" max="2" width="25.77734375" style="26" customWidth="1"/>
    <col min="3" max="3" width="14.6640625" style="26" customWidth="1"/>
    <col min="4" max="4" width="12.33203125" style="26" customWidth="1"/>
    <col min="5" max="5" width="13.5546875" style="26" customWidth="1"/>
    <col min="6" max="16384" width="8.88671875" style="26"/>
  </cols>
  <sheetData>
    <row r="1" spans="2:5" ht="22.8" x14ac:dyDescent="0.4">
      <c r="B1" s="27" t="s">
        <v>252</v>
      </c>
    </row>
    <row r="3" spans="2:5" x14ac:dyDescent="0.25">
      <c r="C3" s="46"/>
      <c r="D3" s="46"/>
      <c r="E3" s="46"/>
    </row>
    <row r="4" spans="2:5" x14ac:dyDescent="0.25">
      <c r="B4" s="26" t="s">
        <v>259</v>
      </c>
      <c r="C4" s="63">
        <f>'2.2 P&amp;L statement'!D17</f>
        <v>4.2437563400000018</v>
      </c>
      <c r="D4" s="47"/>
      <c r="E4" s="47"/>
    </row>
    <row r="5" spans="2:5" x14ac:dyDescent="0.25">
      <c r="B5" s="26" t="s">
        <v>260</v>
      </c>
      <c r="C5" s="45">
        <f>'2.2 P&amp;L statement'!E7-'2.2 P&amp;L statement'!D7</f>
        <v>0.28199325799999997</v>
      </c>
      <c r="D5" s="47"/>
      <c r="E5" s="47"/>
    </row>
    <row r="6" spans="2:5" ht="27.6" x14ac:dyDescent="0.25">
      <c r="B6" s="66" t="s">
        <v>263</v>
      </c>
      <c r="C6" s="64">
        <f>'2.2 P&amp;L statement'!E8-'2.2 P&amp;L statement'!D8</f>
        <v>-0.21096324199999916</v>
      </c>
      <c r="D6" s="47"/>
      <c r="E6" s="47"/>
    </row>
    <row r="7" spans="2:5" x14ac:dyDescent="0.25">
      <c r="B7" s="26" t="s">
        <v>261</v>
      </c>
      <c r="C7" s="45">
        <f>(SUM('2.2 P&amp;L statement'!E10:E16))-(SUM('2.2 P&amp;L statement'!D10:D16))</f>
        <v>0.97571168500000027</v>
      </c>
    </row>
    <row r="8" spans="2:5" x14ac:dyDescent="0.25">
      <c r="B8" s="26" t="s">
        <v>262</v>
      </c>
      <c r="C8" s="45">
        <f>'2.2 P&amp;L statement'!E17</f>
        <v>5.2904980409999993</v>
      </c>
    </row>
    <row r="9" spans="2:5" x14ac:dyDescent="0.25">
      <c r="B9" s="50"/>
      <c r="C9" s="49"/>
    </row>
    <row r="10" spans="2:5" x14ac:dyDescent="0.25">
      <c r="B10" s="51" t="s">
        <v>245</v>
      </c>
      <c r="C10" s="65">
        <f>SUM(C4:C7)-C8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3.1 Stacked column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2023-11-25T21:13:58Z</dcterms:modified>
</cp:coreProperties>
</file>